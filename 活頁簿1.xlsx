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tkhuang\Downloads\"/>
    </mc:Choice>
  </mc:AlternateContent>
  <xr:revisionPtr revIDLastSave="0" documentId="8_{3FC5D604-0CE3-4DCD-B2DE-5AB78BCE62A4}" xr6:coauthVersionLast="47" xr6:coauthVersionMax="47" xr10:uidLastSave="{00000000-0000-0000-0000-000000000000}"/>
  <bookViews>
    <workbookView xWindow="-120" yWindow="-120" windowWidth="29040" windowHeight="17520" xr2:uid="{AF210240-4FC3-4B70-9C9F-97B7CE06EA80}"/>
  </bookViews>
  <sheets>
    <sheet name="Project Planning - B" sheetId="2" r:id="rId1"/>
  </sheets>
  <definedNames>
    <definedName name="_xlnm._FilterDatabase" localSheetId="0" hidden="1">'Project Planning - B'!$A$10:$O$246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4" i="2" l="1" a="1"/>
  <c r="F244" i="2" s="1"/>
  <c r="F243" i="2" a="1"/>
  <c r="F243" i="2" s="1"/>
  <c r="F242" i="2" a="1"/>
  <c r="F242" i="2" s="1"/>
  <c r="F241" i="2" a="1"/>
  <c r="F241" i="2" s="1"/>
  <c r="F240" i="2"/>
  <c r="F240" i="2" a="1"/>
  <c r="F239" i="2" a="1"/>
  <c r="F239" i="2" s="1"/>
  <c r="F232" i="2" a="1"/>
  <c r="F232" i="2" s="1"/>
  <c r="F231" i="2" a="1"/>
  <c r="F231" i="2" s="1"/>
  <c r="F230" i="2" a="1"/>
  <c r="F230" i="2" s="1"/>
  <c r="F229" i="2" a="1"/>
  <c r="F229" i="2" s="1"/>
  <c r="F228" i="2" a="1"/>
  <c r="F228" i="2" s="1"/>
  <c r="F227" i="2" a="1"/>
  <c r="F227" i="2" s="1"/>
  <c r="J221" i="2"/>
  <c r="I222" i="2" s="1"/>
  <c r="J222" i="2" s="1"/>
  <c r="F220" i="2"/>
  <c r="F220" i="2" a="1"/>
  <c r="F219" i="2" a="1"/>
  <c r="F219" i="2" s="1"/>
  <c r="F218" i="2" a="1"/>
  <c r="F218" i="2" s="1"/>
  <c r="I217" i="2"/>
  <c r="J217" i="2" s="1"/>
  <c r="F217" i="2" a="1"/>
  <c r="F217" i="2" s="1"/>
  <c r="J216" i="2"/>
  <c r="F216" i="2" a="1"/>
  <c r="F216" i="2" s="1"/>
  <c r="K215" i="2"/>
  <c r="F215" i="2" a="1"/>
  <c r="F215" i="2" s="1"/>
  <c r="K214" i="2"/>
  <c r="K213" i="2"/>
  <c r="K212" i="2"/>
  <c r="K211" i="2"/>
  <c r="K210" i="2"/>
  <c r="K209" i="2"/>
  <c r="K208" i="2"/>
  <c r="F208" i="2" a="1"/>
  <c r="F208" i="2" s="1"/>
  <c r="K207" i="2"/>
  <c r="F207" i="2" a="1"/>
  <c r="F207" i="2" s="1"/>
  <c r="K206" i="2"/>
  <c r="F206" i="2" a="1"/>
  <c r="F206" i="2" s="1"/>
  <c r="K205" i="2"/>
  <c r="F205" i="2" a="1"/>
  <c r="F205" i="2" s="1"/>
  <c r="K204" i="2"/>
  <c r="J204" i="2"/>
  <c r="I205" i="2" s="1"/>
  <c r="J205" i="2" s="1"/>
  <c r="F204" i="2" a="1"/>
  <c r="F204" i="2" s="1"/>
  <c r="K203" i="2"/>
  <c r="J203" i="2"/>
  <c r="F203" i="2"/>
  <c r="F203" i="2" a="1"/>
  <c r="K202" i="2"/>
  <c r="K201" i="2"/>
  <c r="K200" i="2"/>
  <c r="K199" i="2"/>
  <c r="J199" i="2" s="1"/>
  <c r="I200" i="2" s="1"/>
  <c r="J200" i="2" s="1"/>
  <c r="K198" i="2"/>
  <c r="K197" i="2"/>
  <c r="K196" i="2"/>
  <c r="F196" i="2"/>
  <c r="F196" i="2" a="1"/>
  <c r="K195" i="2"/>
  <c r="F195" i="2" a="1"/>
  <c r="F195" i="2" s="1"/>
  <c r="K194" i="2"/>
  <c r="F194" i="2" a="1"/>
  <c r="F194" i="2" s="1"/>
  <c r="K193" i="2"/>
  <c r="F193" i="2"/>
  <c r="F193" i="2" a="1"/>
  <c r="K192" i="2"/>
  <c r="F192" i="2" a="1"/>
  <c r="F192" i="2" s="1"/>
  <c r="K191" i="2"/>
  <c r="F191" i="2" a="1"/>
  <c r="F191" i="2" s="1"/>
  <c r="K190" i="2"/>
  <c r="K189" i="2"/>
  <c r="K188" i="2"/>
  <c r="K187" i="2"/>
  <c r="K186" i="2"/>
  <c r="I186" i="2"/>
  <c r="J186" i="2" s="1"/>
  <c r="I187" i="2" s="1"/>
  <c r="J187" i="2" s="1"/>
  <c r="K185" i="2"/>
  <c r="K184" i="2"/>
  <c r="F184" i="2"/>
  <c r="F184" i="2" a="1"/>
  <c r="K183" i="2"/>
  <c r="F183" i="2" a="1"/>
  <c r="F183" i="2" s="1"/>
  <c r="K182" i="2"/>
  <c r="F182" i="2" a="1"/>
  <c r="F182" i="2" s="1"/>
  <c r="K181" i="2"/>
  <c r="F181" i="2" a="1"/>
  <c r="F181" i="2" s="1"/>
  <c r="K180" i="2"/>
  <c r="F180" i="2" a="1"/>
  <c r="F180" i="2" s="1"/>
  <c r="K179" i="2"/>
  <c r="F179" i="2" a="1"/>
  <c r="F179" i="2" s="1"/>
  <c r="K178" i="2"/>
  <c r="K177" i="2"/>
  <c r="K176" i="2"/>
  <c r="K175" i="2"/>
  <c r="K174" i="2"/>
  <c r="K173" i="2"/>
  <c r="K172" i="2"/>
  <c r="F172" i="2" a="1"/>
  <c r="F172" i="2" s="1"/>
  <c r="K171" i="2"/>
  <c r="F171" i="2" a="1"/>
  <c r="F171" i="2" s="1"/>
  <c r="K170" i="2"/>
  <c r="F170" i="2" a="1"/>
  <c r="F170" i="2" s="1"/>
  <c r="K169" i="2"/>
  <c r="F169" i="2"/>
  <c r="F169" i="2" a="1"/>
  <c r="K168" i="2"/>
  <c r="F168" i="2" a="1"/>
  <c r="F168" i="2" s="1"/>
  <c r="K167" i="2"/>
  <c r="F167" i="2" a="1"/>
  <c r="F167" i="2" s="1"/>
  <c r="K166" i="2"/>
  <c r="K165" i="2"/>
  <c r="K164" i="2"/>
  <c r="K163" i="2"/>
  <c r="K162" i="2"/>
  <c r="K161" i="2"/>
  <c r="K160" i="2"/>
  <c r="F160" i="2" a="1"/>
  <c r="F160" i="2" s="1"/>
  <c r="K159" i="2"/>
  <c r="F159" i="2" a="1"/>
  <c r="F159" i="2" s="1"/>
  <c r="K158" i="2"/>
  <c r="F158" i="2" a="1"/>
  <c r="F158" i="2" s="1"/>
  <c r="K157" i="2"/>
  <c r="F157" i="2"/>
  <c r="F157" i="2" a="1"/>
  <c r="K156" i="2"/>
  <c r="F156" i="2" a="1"/>
  <c r="F156" i="2" s="1"/>
  <c r="K155" i="2"/>
  <c r="F155" i="2" a="1"/>
  <c r="F155" i="2" s="1"/>
  <c r="K154" i="2"/>
  <c r="K153" i="2"/>
  <c r="K152" i="2"/>
  <c r="K151" i="2"/>
  <c r="K150" i="2"/>
  <c r="K149" i="2"/>
  <c r="K148" i="2"/>
  <c r="F148" i="2" a="1"/>
  <c r="F148" i="2" s="1"/>
  <c r="K147" i="2"/>
  <c r="F147" i="2" a="1"/>
  <c r="F147" i="2" s="1"/>
  <c r="K146" i="2"/>
  <c r="F146" i="2" a="1"/>
  <c r="F146" i="2" s="1"/>
  <c r="K145" i="2"/>
  <c r="F145" i="2"/>
  <c r="F145" i="2" a="1"/>
  <c r="K144" i="2"/>
  <c r="F144" i="2" a="1"/>
  <c r="F144" i="2" s="1"/>
  <c r="K143" i="2"/>
  <c r="F143" i="2" a="1"/>
  <c r="F143" i="2" s="1"/>
  <c r="K142" i="2"/>
  <c r="K141" i="2"/>
  <c r="K140" i="2"/>
  <c r="K139" i="2"/>
  <c r="K138" i="2"/>
  <c r="K137" i="2"/>
  <c r="K136" i="2"/>
  <c r="F136" i="2" a="1"/>
  <c r="F136" i="2" s="1"/>
  <c r="K135" i="2"/>
  <c r="F135" i="2"/>
  <c r="F135" i="2" a="1"/>
  <c r="K134" i="2"/>
  <c r="F134" i="2" a="1"/>
  <c r="F134" i="2" s="1"/>
  <c r="K133" i="2"/>
  <c r="F133" i="2" a="1"/>
  <c r="F133" i="2" s="1"/>
  <c r="K132" i="2"/>
  <c r="F132" i="2" a="1"/>
  <c r="F132" i="2" s="1"/>
  <c r="K131" i="2"/>
  <c r="F131" i="2" a="1"/>
  <c r="F131" i="2" s="1"/>
  <c r="K130" i="2"/>
  <c r="K129" i="2"/>
  <c r="K128" i="2"/>
  <c r="K127" i="2"/>
  <c r="K126" i="2"/>
  <c r="K125" i="2"/>
  <c r="K124" i="2"/>
  <c r="F124" i="2" a="1"/>
  <c r="F124" i="2" s="1"/>
  <c r="K123" i="2"/>
  <c r="F123" i="2"/>
  <c r="F123" i="2" a="1"/>
  <c r="K122" i="2"/>
  <c r="F122" i="2" a="1"/>
  <c r="F122" i="2" s="1"/>
  <c r="K121" i="2"/>
  <c r="F121" i="2" a="1"/>
  <c r="F121" i="2" s="1"/>
  <c r="K120" i="2"/>
  <c r="F120" i="2"/>
  <c r="F120" i="2" a="1"/>
  <c r="K119" i="2"/>
  <c r="F119" i="2" a="1"/>
  <c r="F119" i="2" s="1"/>
  <c r="K118" i="2"/>
  <c r="K117" i="2"/>
  <c r="K116" i="2"/>
  <c r="K115" i="2"/>
  <c r="K114" i="2"/>
  <c r="K113" i="2"/>
  <c r="K112" i="2"/>
  <c r="F112" i="2" a="1"/>
  <c r="F112" i="2" s="1"/>
  <c r="K111" i="2"/>
  <c r="F111" i="2"/>
  <c r="F111" i="2" a="1"/>
  <c r="K110" i="2"/>
  <c r="F110" i="2" a="1"/>
  <c r="F110" i="2" s="1"/>
  <c r="K109" i="2"/>
  <c r="F109" i="2" a="1"/>
  <c r="F109" i="2" s="1"/>
  <c r="K108" i="2"/>
  <c r="F108" i="2" a="1"/>
  <c r="F108" i="2" s="1"/>
  <c r="K107" i="2"/>
  <c r="F107" i="2" a="1"/>
  <c r="F107" i="2" s="1"/>
  <c r="K106" i="2"/>
  <c r="K105" i="2"/>
  <c r="K104" i="2"/>
  <c r="K103" i="2"/>
  <c r="K102" i="2"/>
  <c r="K101" i="2"/>
  <c r="K100" i="2"/>
  <c r="F100" i="2" a="1"/>
  <c r="F100" i="2" s="1"/>
  <c r="K99" i="2"/>
  <c r="F99" i="2" a="1"/>
  <c r="F99" i="2" s="1"/>
  <c r="K98" i="2"/>
  <c r="F98" i="2" a="1"/>
  <c r="F98" i="2" s="1"/>
  <c r="K97" i="2"/>
  <c r="F97" i="2" a="1"/>
  <c r="F97" i="2" s="1"/>
  <c r="K96" i="2"/>
  <c r="F96" i="2" a="1"/>
  <c r="F96" i="2" s="1"/>
  <c r="K95" i="2"/>
  <c r="F95" i="2" a="1"/>
  <c r="F95" i="2" s="1"/>
  <c r="K94" i="2"/>
  <c r="K93" i="2"/>
  <c r="K92" i="2"/>
  <c r="K91" i="2"/>
  <c r="K90" i="2"/>
  <c r="K89" i="2"/>
  <c r="K88" i="2"/>
  <c r="F88" i="2" a="1"/>
  <c r="F88" i="2" s="1"/>
  <c r="K87" i="2"/>
  <c r="F87" i="2" a="1"/>
  <c r="F87" i="2" s="1"/>
  <c r="K86" i="2"/>
  <c r="F86" i="2"/>
  <c r="F86" i="2" a="1"/>
  <c r="K85" i="2"/>
  <c r="F85" i="2" a="1"/>
  <c r="F85" i="2" s="1"/>
  <c r="K84" i="2"/>
  <c r="F84" i="2" a="1"/>
  <c r="F84" i="2" s="1"/>
  <c r="K83" i="2"/>
  <c r="F83" i="2" a="1"/>
  <c r="F83" i="2" s="1"/>
  <c r="K82" i="2"/>
  <c r="K81" i="2"/>
  <c r="K80" i="2"/>
  <c r="K79" i="2"/>
  <c r="K78" i="2"/>
  <c r="K77" i="2"/>
  <c r="K76" i="2"/>
  <c r="F76" i="2" a="1"/>
  <c r="F76" i="2" s="1"/>
  <c r="K75" i="2"/>
  <c r="F75" i="2" a="1"/>
  <c r="F75" i="2" s="1"/>
  <c r="K74" i="2"/>
  <c r="F74" i="2" a="1"/>
  <c r="F74" i="2" s="1"/>
  <c r="K73" i="2"/>
  <c r="F73" i="2" a="1"/>
  <c r="F73" i="2" s="1"/>
  <c r="K72" i="2"/>
  <c r="F72" i="2" a="1"/>
  <c r="F72" i="2" s="1"/>
  <c r="K71" i="2"/>
  <c r="F71" i="2"/>
  <c r="F71" i="2" a="1"/>
  <c r="K70" i="2"/>
  <c r="K69" i="2"/>
  <c r="K68" i="2"/>
  <c r="K67" i="2"/>
  <c r="K66" i="2"/>
  <c r="K65" i="2"/>
  <c r="K64" i="2"/>
  <c r="F64" i="2" a="1"/>
  <c r="F64" i="2" s="1"/>
  <c r="K63" i="2"/>
  <c r="F63" i="2" a="1"/>
  <c r="F63" i="2" s="1"/>
  <c r="K62" i="2"/>
  <c r="F62" i="2" a="1"/>
  <c r="F62" i="2" s="1"/>
  <c r="K61" i="2"/>
  <c r="F61" i="2" a="1"/>
  <c r="F61" i="2" s="1"/>
  <c r="K60" i="2"/>
  <c r="F60" i="2" a="1"/>
  <c r="F60" i="2" s="1"/>
  <c r="K59" i="2"/>
  <c r="F59" i="2"/>
  <c r="F59" i="2" a="1"/>
  <c r="K58" i="2"/>
  <c r="K57" i="2"/>
  <c r="K56" i="2"/>
  <c r="K55" i="2"/>
  <c r="K54" i="2"/>
  <c r="K53" i="2"/>
  <c r="K52" i="2"/>
  <c r="F52" i="2"/>
  <c r="F52" i="2" a="1"/>
  <c r="K51" i="2"/>
  <c r="F51" i="2" a="1"/>
  <c r="F51" i="2" s="1"/>
  <c r="K50" i="2"/>
  <c r="F50" i="2" a="1"/>
  <c r="F50" i="2" s="1"/>
  <c r="K49" i="2"/>
  <c r="F49" i="2" a="1"/>
  <c r="F49" i="2" s="1"/>
  <c r="K48" i="2"/>
  <c r="F48" i="2" a="1"/>
  <c r="F48" i="2" s="1"/>
  <c r="K47" i="2"/>
  <c r="F47" i="2" a="1"/>
  <c r="F47" i="2" s="1"/>
  <c r="K46" i="2"/>
  <c r="K44" i="2"/>
  <c r="K43" i="2"/>
  <c r="K42" i="2"/>
  <c r="K41" i="2"/>
  <c r="K40" i="2"/>
  <c r="F40" i="2" a="1"/>
  <c r="F40" i="2" s="1"/>
  <c r="K39" i="2"/>
  <c r="F39" i="2" a="1"/>
  <c r="F39" i="2" s="1"/>
  <c r="K38" i="2"/>
  <c r="F38" i="2" a="1"/>
  <c r="F38" i="2" s="1"/>
  <c r="F37" i="2" a="1"/>
  <c r="F37" i="2" s="1"/>
  <c r="K36" i="2"/>
  <c r="F36" i="2" a="1"/>
  <c r="F36" i="2" s="1"/>
  <c r="K35" i="2"/>
  <c r="F35" i="2" a="1"/>
  <c r="F35" i="2" s="1"/>
  <c r="K34" i="2"/>
  <c r="K33" i="2"/>
  <c r="K32" i="2"/>
  <c r="K31" i="2"/>
  <c r="K30" i="2"/>
  <c r="K29" i="2"/>
  <c r="K28" i="2"/>
  <c r="F28" i="2" a="1"/>
  <c r="F28" i="2" s="1"/>
  <c r="K27" i="2"/>
  <c r="F27" i="2" a="1"/>
  <c r="F27" i="2" s="1"/>
  <c r="K26" i="2"/>
  <c r="F26" i="2" a="1"/>
  <c r="F26" i="2" s="1"/>
  <c r="K25" i="2"/>
  <c r="F25" i="2" a="1"/>
  <c r="F25" i="2" s="1"/>
  <c r="K24" i="2"/>
  <c r="F24" i="2" a="1"/>
  <c r="F24" i="2" s="1"/>
  <c r="K23" i="2"/>
  <c r="F23" i="2" a="1"/>
  <c r="F23" i="2" s="1"/>
  <c r="K22" i="2"/>
  <c r="K21" i="2"/>
  <c r="K20" i="2"/>
  <c r="K19" i="2"/>
  <c r="K18" i="2"/>
  <c r="K17" i="2"/>
  <c r="J17" i="2"/>
  <c r="I18" i="2" s="1"/>
  <c r="J18" i="2" s="1"/>
  <c r="K16" i="2"/>
  <c r="F16" i="2" a="1"/>
  <c r="F16" i="2" s="1"/>
  <c r="K15" i="2"/>
  <c r="F15" i="2" a="1"/>
  <c r="F15" i="2" s="1"/>
  <c r="K14" i="2"/>
  <c r="F14" i="2" a="1"/>
  <c r="F14" i="2" s="1"/>
  <c r="K13" i="2"/>
  <c r="F13" i="2" a="1"/>
  <c r="F13" i="2" s="1"/>
  <c r="K12" i="2"/>
  <c r="I12" i="2"/>
  <c r="J12" i="2" s="1"/>
  <c r="I13" i="2" s="1"/>
  <c r="J13" i="2" s="1"/>
  <c r="I14" i="2" s="1"/>
  <c r="J14" i="2" s="1"/>
  <c r="I15" i="2" s="1"/>
  <c r="J15" i="2" s="1"/>
  <c r="I16" i="2" s="1"/>
  <c r="J16" i="2" s="1"/>
  <c r="F12" i="2"/>
  <c r="F12" i="2" a="1"/>
  <c r="K11" i="2"/>
  <c r="J11" i="2"/>
  <c r="F11" i="2" a="1"/>
  <c r="F11" i="2" s="1"/>
  <c r="P8" i="2"/>
  <c r="Q8" i="2" s="1"/>
  <c r="J7" i="2"/>
  <c r="P6" i="2"/>
  <c r="Q6" i="2" s="1"/>
  <c r="C6" i="2"/>
  <c r="L5" i="2"/>
  <c r="C5" i="2"/>
  <c r="L4" i="2"/>
  <c r="C4" i="2"/>
  <c r="C3" i="2"/>
  <c r="I218" i="2" l="1"/>
  <c r="J218" i="2" s="1"/>
  <c r="I219" i="2"/>
  <c r="J219" i="2" s="1"/>
  <c r="I220" i="2" s="1"/>
  <c r="J220" i="2" s="1"/>
  <c r="I19" i="2"/>
  <c r="J19" i="2" s="1"/>
  <c r="I20" i="2" s="1"/>
  <c r="J20" i="2" s="1"/>
  <c r="I21" i="2" s="1"/>
  <c r="J21" i="2" s="1"/>
  <c r="I23" i="2"/>
  <c r="J23" i="2" s="1"/>
  <c r="I24" i="2" s="1"/>
  <c r="J24" i="2" s="1"/>
  <c r="I188" i="2"/>
  <c r="J188" i="2" s="1"/>
  <c r="I189" i="2"/>
  <c r="J189" i="2" s="1"/>
  <c r="I190" i="2" s="1"/>
  <c r="J190" i="2" s="1"/>
  <c r="I191" i="2"/>
  <c r="J191" i="2" s="1"/>
  <c r="I192" i="2" s="1"/>
  <c r="J192" i="2" s="1"/>
  <c r="I224" i="2"/>
  <c r="J224" i="2" s="1"/>
  <c r="I225" i="2" s="1"/>
  <c r="J225" i="2" s="1"/>
  <c r="I236" i="2" s="1"/>
  <c r="J236" i="2" s="1"/>
  <c r="I237" i="2" s="1"/>
  <c r="J237" i="2" s="1"/>
  <c r="I226" i="2"/>
  <c r="J226" i="2" s="1"/>
  <c r="I227" i="2" s="1"/>
  <c r="J227" i="2" s="1"/>
  <c r="I223" i="2"/>
  <c r="J223" i="2" s="1"/>
  <c r="I196" i="2" l="1"/>
  <c r="J196" i="2" s="1"/>
  <c r="I197" i="2" s="1"/>
  <c r="J197" i="2" s="1"/>
  <c r="I193" i="2"/>
  <c r="J193" i="2" s="1"/>
  <c r="I194" i="2"/>
  <c r="J194" i="2" s="1"/>
  <c r="I195" i="2" s="1"/>
  <c r="J195" i="2" s="1"/>
  <c r="I25" i="2"/>
  <c r="J25" i="2" s="1"/>
  <c r="I29" i="2" s="1"/>
  <c r="J29" i="2" s="1"/>
  <c r="I28" i="2"/>
  <c r="J28" i="2" s="1"/>
  <c r="I239" i="2"/>
  <c r="J239" i="2" s="1"/>
  <c r="I240" i="2" s="1"/>
  <c r="J240" i="2" s="1"/>
  <c r="I238" i="2"/>
  <c r="J238" i="2" s="1"/>
  <c r="I26" i="2"/>
  <c r="J26" i="2" s="1"/>
  <c r="I22" i="2"/>
  <c r="I231" i="2"/>
  <c r="J231" i="2" s="1"/>
  <c r="I232" i="2" s="1"/>
  <c r="J232" i="2" s="1"/>
  <c r="I229" i="2"/>
  <c r="J229" i="2" s="1"/>
  <c r="I230" i="2" s="1"/>
  <c r="J230" i="2" s="1"/>
  <c r="I234" i="2" s="1"/>
  <c r="J234" i="2" s="1"/>
  <c r="I235" i="2" s="1"/>
  <c r="J235" i="2" s="1"/>
  <c r="I228" i="2"/>
  <c r="J228" i="2" s="1"/>
  <c r="I31" i="2" l="1"/>
  <c r="J31" i="2" s="1"/>
  <c r="I27" i="2"/>
  <c r="J27" i="2" s="1"/>
  <c r="I233" i="2"/>
  <c r="J233" i="2" s="1"/>
  <c r="I241" i="2"/>
  <c r="J241" i="2" s="1"/>
  <c r="I242" i="2" s="1"/>
  <c r="J242" i="2" s="1"/>
  <c r="J22" i="2"/>
  <c r="I30" i="2"/>
  <c r="J30" i="2" s="1"/>
  <c r="I35" i="2" s="1"/>
  <c r="J35" i="2" s="1"/>
  <c r="I33" i="2"/>
  <c r="J33" i="2" s="1"/>
  <c r="I34" i="2" s="1"/>
  <c r="J34" i="2" s="1"/>
  <c r="I198" i="2"/>
  <c r="J198" i="2" s="1"/>
  <c r="I201" i="2"/>
  <c r="J201" i="2" s="1"/>
  <c r="I202" i="2" s="1"/>
  <c r="J202" i="2" s="1"/>
  <c r="I206" i="2" s="1"/>
  <c r="J206" i="2" s="1"/>
  <c r="I207" i="2" s="1"/>
  <c r="J207" i="2" s="1"/>
  <c r="I211" i="2" l="1"/>
  <c r="J211" i="2" s="1"/>
  <c r="I212" i="2" s="1"/>
  <c r="J212" i="2" s="1"/>
  <c r="I208" i="2"/>
  <c r="J208" i="2" s="1"/>
  <c r="I209" i="2"/>
  <c r="J209" i="2" s="1"/>
  <c r="I210" i="2" s="1"/>
  <c r="J210" i="2" s="1"/>
  <c r="I243" i="2"/>
  <c r="J243" i="2" s="1"/>
  <c r="I244" i="2"/>
  <c r="J244" i="2" s="1"/>
  <c r="I245" i="2" s="1"/>
  <c r="J245" i="2" s="1"/>
  <c r="I246" i="2" s="1"/>
  <c r="I32" i="2"/>
  <c r="I36" i="2"/>
  <c r="J36" i="2" s="1"/>
  <c r="I37" i="2" s="1"/>
  <c r="J32" i="2" l="1"/>
  <c r="I213" i="2"/>
  <c r="J213" i="2" s="1"/>
  <c r="I214" i="2"/>
  <c r="J214" i="2" s="1"/>
  <c r="I215" i="2" s="1"/>
  <c r="J215" i="2" s="1"/>
  <c r="H4" i="2" l="1"/>
  <c r="H5" i="2"/>
  <c r="H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<sst xmlns="http://schemas.openxmlformats.org/spreadsheetml/2006/main" count="1808" uniqueCount="318">
  <si>
    <t>DMS Development</t>
  </si>
  <si>
    <t>TOTAL TASKS</t>
  </si>
  <si>
    <t>DURATION</t>
  </si>
  <si>
    <t>Overall
Progress</t>
  </si>
  <si>
    <t>Completed</t>
  </si>
  <si>
    <t>START</t>
  </si>
  <si>
    <t>Team Member</t>
  </si>
  <si>
    <t>FTE</t>
  </si>
  <si>
    <t>Cost / Monthly</t>
  </si>
  <si>
    <t>Difficulty Level</t>
  </si>
  <si>
    <t>MD</t>
    <phoneticPr fontId="10" type="noConversion"/>
  </si>
  <si>
    <t>In progress</t>
  </si>
  <si>
    <t>FINISH</t>
  </si>
  <si>
    <t>Kent</t>
  </si>
  <si>
    <t>1 year</t>
  </si>
  <si>
    <t>Low</t>
    <phoneticPr fontId="10" type="noConversion"/>
  </si>
  <si>
    <t>1-2</t>
    <phoneticPr fontId="10" type="noConversion"/>
  </si>
  <si>
    <t>Not Started</t>
  </si>
  <si>
    <t>BA/Testing</t>
    <phoneticPr fontId="10" type="noConversion"/>
  </si>
  <si>
    <t>Mid</t>
    <phoneticPr fontId="10" type="noConversion"/>
  </si>
  <si>
    <t>3-5</t>
    <phoneticPr fontId="10" type="noConversion"/>
  </si>
  <si>
    <t xml:space="preserve">New SA and Engineer training </t>
  </si>
  <si>
    <t>1/5/2026 - 1/9/2026</t>
  </si>
  <si>
    <t>AP Lead</t>
  </si>
  <si>
    <t>Onboard after Chinese New Year</t>
    <phoneticPr fontId="10" type="noConversion"/>
  </si>
  <si>
    <t>High</t>
    <phoneticPr fontId="10" type="noConversion"/>
  </si>
  <si>
    <t>6-8</t>
    <phoneticPr fontId="10" type="noConversion"/>
  </si>
  <si>
    <t>FrontEnd1</t>
    <phoneticPr fontId="10" type="noConversion"/>
  </si>
  <si>
    <t>Patrick-BA</t>
    <phoneticPr fontId="10" type="noConversion"/>
  </si>
  <si>
    <t>SPRINT</t>
    <phoneticPr fontId="10" type="noConversion"/>
  </si>
  <si>
    <t>EPIC</t>
  </si>
  <si>
    <t>FEATURE</t>
  </si>
  <si>
    <t>TASKS</t>
  </si>
  <si>
    <t>STORIES</t>
  </si>
  <si>
    <t>Difficulty Level</t>
    <phoneticPr fontId="10" type="noConversion"/>
  </si>
  <si>
    <t>RESPONSIBLE</t>
  </si>
  <si>
    <t>Man Day Required</t>
  </si>
  <si>
    <t>STATUS</t>
  </si>
  <si>
    <t>Sprint 0</t>
  </si>
  <si>
    <t>Shareholders' Meeting &amp; Management</t>
  </si>
  <si>
    <t>Data Mapping, Data Migration &amp; Create Tables in DB</t>
    <phoneticPr fontId="10" type="noConversion"/>
  </si>
  <si>
    <t>BA</t>
  </si>
  <si>
    <t xml:space="preserve">Data Mapping, Data Migration &amp; Create Tables in DB Requirement Analysis </t>
    <phoneticPr fontId="10" type="noConversion"/>
  </si>
  <si>
    <t>BA/Testing</t>
  </si>
  <si>
    <t>Data Mapping, Data Migration &amp; Create Tables in DB</t>
  </si>
  <si>
    <t xml:space="preserve">Data Mapping, Data Migration &amp; Create Tables in DB Requirement  </t>
  </si>
  <si>
    <t>Development</t>
  </si>
  <si>
    <t>Data Mapping - Development</t>
  </si>
  <si>
    <t>Data Migration - Development</t>
  </si>
  <si>
    <t>Create Tables in DB - Development</t>
  </si>
  <si>
    <t>Testing</t>
    <phoneticPr fontId="10" type="noConversion"/>
  </si>
  <si>
    <t>Data Related QA - unit testing</t>
  </si>
  <si>
    <t>Sprint 1</t>
  </si>
  <si>
    <t xml:space="preserve">Dividend Distribution </t>
  </si>
  <si>
    <t xml:space="preserve">Data Related Detail Requirement Analysis </t>
  </si>
  <si>
    <t>Patrick -BA</t>
    <phoneticPr fontId="10" type="noConversion"/>
  </si>
  <si>
    <t xml:space="preserve">Data Related Document Detail Requirement  </t>
  </si>
  <si>
    <t>Sprint 2</t>
  </si>
  <si>
    <t>Maintain Distributable Balance 可分配餘額維護作業</t>
  </si>
  <si>
    <t xml:space="preserve">Maintain Distributable Balance  Detail Requirement Analysis </t>
  </si>
  <si>
    <t xml:space="preserve">Maintain Distributable Document Detail Requirement  </t>
  </si>
  <si>
    <t>Maintain Distributable Balance - Development 1</t>
  </si>
  <si>
    <t>FrontEnd</t>
    <phoneticPr fontId="10" type="noConversion"/>
  </si>
  <si>
    <t>Sprint 3</t>
  </si>
  <si>
    <t xml:space="preserve">Dividend Distribution </t>
    <phoneticPr fontId="10" type="noConversion"/>
  </si>
  <si>
    <t>Maintain Distributable Balance - Development 2</t>
  </si>
  <si>
    <t>Maintain Distributable Balance QA - unit testing</t>
  </si>
  <si>
    <t>Domestic Dividend Information Inquiry 境內配息資訊查詢作業</t>
  </si>
  <si>
    <t xml:space="preserve">Domestic Dividend Information Inquiry Detail Requirement Analysis </t>
  </si>
  <si>
    <t xml:space="preserve">Domestic Dividend Information Inquiry Document Detail Requirement  </t>
  </si>
  <si>
    <t>Sprint 4</t>
  </si>
  <si>
    <t>Domestic Dividend Information Inquiry - Development 1</t>
  </si>
  <si>
    <t>Domestic Dividend Information Inquiry - Development 2</t>
  </si>
  <si>
    <t>Sprint 5</t>
  </si>
  <si>
    <t>Domestic Dividend Information Inquiry QA - unit testing</t>
  </si>
  <si>
    <t>Upload Domestic Dividend Composition Info to EC 境內配息組成資訊上傳EC</t>
  </si>
  <si>
    <t xml:space="preserve">Upload Domestic Dividend Composition Info to EC - Detail Requirement Analysis </t>
  </si>
  <si>
    <t xml:space="preserve">Upload Domestic Dividend Composition Info to EC - Document Detail Requirement  </t>
  </si>
  <si>
    <t>Upload Domestic Dividend Composition Info to EC - Development 1</t>
  </si>
  <si>
    <t>Upload Domestic Dividend Composition Info to EC - Development 2</t>
  </si>
  <si>
    <t>Sprint 6</t>
  </si>
  <si>
    <t>Upload Domestic Dividend Composition Info to EC QA - unit testing</t>
  </si>
  <si>
    <t>Mandate</t>
  </si>
  <si>
    <t>Mandate</t>
    <phoneticPr fontId="10" type="noConversion"/>
  </si>
  <si>
    <t xml:space="preserve">Data Mapping, Data Migration &amp; Create Tables in DB Requirement  </t>
    <phoneticPr fontId="10" type="noConversion"/>
  </si>
  <si>
    <t>New AP Lead</t>
  </si>
  <si>
    <t>FAS 8111 Mandate Client Information Maintenance 全委委託人資料維護</t>
  </si>
  <si>
    <t xml:space="preserve">Mandate Client Information Maintenance Requirement Analysis </t>
  </si>
  <si>
    <t xml:space="preserve">Mandate Client Information Maintenance Requirement  </t>
  </si>
  <si>
    <t>Mandate Client Information Maintenance - Development 1</t>
  </si>
  <si>
    <t>Mandate Client Information Maintenance - Development 2</t>
  </si>
  <si>
    <t>Mandate Client Information Maintenance QA - unit-testing</t>
  </si>
  <si>
    <t>FAS 8112 Mandate Contract Information Maintenance 全委契約資料維護</t>
  </si>
  <si>
    <t xml:space="preserve">Mandate Contract Information Maintenance Requirement Analysis </t>
  </si>
  <si>
    <t xml:space="preserve">Mandate Contract Information Maintenance Requirement  </t>
  </si>
  <si>
    <t>Mandate Contract Information Maintenance  - Development 1</t>
  </si>
  <si>
    <t>Sprint 7</t>
  </si>
  <si>
    <t>Mandate Contract Information Maintenance - Development 2</t>
  </si>
  <si>
    <t>Kent</t>
    <phoneticPr fontId="10" type="noConversion"/>
  </si>
  <si>
    <t>Sprint 8</t>
  </si>
  <si>
    <t>Mandate Contract Information Maintenance  QA - unit-testing</t>
  </si>
  <si>
    <t>FAS 8121 Mandate Subscription Data Entry 全委申購資料登錄</t>
  </si>
  <si>
    <t xml:space="preserve">Mandate Subscription Data Entry Requirement Analysis </t>
  </si>
  <si>
    <t>Mandate Subscription Data Entry Requirement Doc</t>
  </si>
  <si>
    <t>Mandate Subscription Data Entry - Development 1</t>
  </si>
  <si>
    <t>Mandate Subscription Data Entry - Development 2</t>
  </si>
  <si>
    <t>Sprint 9</t>
  </si>
  <si>
    <t>Mandate Subscription Data Entry QA - unit-testing</t>
  </si>
  <si>
    <t>FAS 8122 Mandate Redemption Data Entry 全委買回資料登錄</t>
  </si>
  <si>
    <t xml:space="preserve">Mandate Redemption Data Entry Requirement Analysis </t>
  </si>
  <si>
    <t>Mandate Redemption Data Entry Requirement Doc</t>
  </si>
  <si>
    <t>Mandate Redemption Data Entry - Development 1</t>
  </si>
  <si>
    <t>Sprint 10</t>
  </si>
  <si>
    <t>Mandate Redemption Data Entry - Development 2</t>
  </si>
  <si>
    <t>Sprint 11</t>
  </si>
  <si>
    <t>Mandate Redemption Data Entry  QA - unit-testing</t>
  </si>
  <si>
    <t>FAS 8151 Mandate Fund NAV Inquiry 全委基金淨值查詢</t>
  </si>
  <si>
    <t xml:space="preserve">Mandate Fund NAV Inquiry Requirement Analysis </t>
  </si>
  <si>
    <t>Mandate Fund NAV Inquiry Requirement Doc</t>
  </si>
  <si>
    <t>Mandate Fund NAV Inquiry - Development 1</t>
  </si>
  <si>
    <t>Sprint 12</t>
  </si>
  <si>
    <t>Mandate Fund NAV Inquiry - Development 2</t>
  </si>
  <si>
    <t>Mandate Fund NAV Inquiry  QA - unit-testing</t>
  </si>
  <si>
    <t>FAS 8152 Mandate Account Holdings Inquiry 全委帳戶庫存查詢</t>
  </si>
  <si>
    <t>Sprint 13</t>
  </si>
  <si>
    <t>FAS 81611 Subscription Details Report 申購資料明細表</t>
  </si>
  <si>
    <t xml:space="preserve">Subscription Details Report Requirement Analysis </t>
    <phoneticPr fontId="10" type="noConversion"/>
  </si>
  <si>
    <t xml:space="preserve">Subscription Details Report Requirement  </t>
    <phoneticPr fontId="10" type="noConversion"/>
  </si>
  <si>
    <t>Subscription Details Report - Development 1</t>
    <phoneticPr fontId="10" type="noConversion"/>
  </si>
  <si>
    <t>Subscription Details Report - Development 2</t>
    <phoneticPr fontId="10" type="noConversion"/>
  </si>
  <si>
    <t>Subscription Details Report QA - unit-testing</t>
    <phoneticPr fontId="10" type="noConversion"/>
  </si>
  <si>
    <t>FAS 81621 Redemption Details Report 買回資料明細表</t>
  </si>
  <si>
    <t xml:space="preserve">Redemption Details Report Requirement Analysis </t>
    <phoneticPr fontId="10" type="noConversion"/>
  </si>
  <si>
    <t xml:space="preserve">Redemption Details Report Requirement  </t>
    <phoneticPr fontId="10" type="noConversion"/>
  </si>
  <si>
    <t>Redemption Details Report - Development 1</t>
    <phoneticPr fontId="10" type="noConversion"/>
  </si>
  <si>
    <t>Redemption Details Report - Development 2</t>
    <phoneticPr fontId="10" type="noConversion"/>
  </si>
  <si>
    <t>Redemption Details Report QA - unit-testing</t>
    <phoneticPr fontId="10" type="noConversion"/>
  </si>
  <si>
    <t>FAS 8171 Mandate NAV Import Process (State Street) 全委淨值匯入作業(道富)</t>
  </si>
  <si>
    <t xml:space="preserve">Mandate NAV Import Process (State Street) Requirement Analysis </t>
  </si>
  <si>
    <t xml:space="preserve">Mandate NAV Import Process (State Street) Requirement  </t>
  </si>
  <si>
    <t>Mandate NAV Import Process (State Street) - Development 1</t>
  </si>
  <si>
    <t>Mandate NAV Import Process (State Street) - Development 2</t>
  </si>
  <si>
    <t>Mandate NAV Import Process (State Street) QA - unit-testing</t>
  </si>
  <si>
    <t>FAS 81811 Generate Mandate Subscription/Redemption Data 全委申贖資料產生</t>
  </si>
  <si>
    <t xml:space="preserve">Generate Mandate Subscription/Redemption Data Requirement Analysis </t>
  </si>
  <si>
    <t xml:space="preserve">Generate Mandate Subscription/Redemption Data Requirement  </t>
  </si>
  <si>
    <t>Generate Mandate Subscription/Redemption Data - Development 1</t>
  </si>
  <si>
    <t>Generate Mandate Subscription/Redemption Data - Development 2</t>
  </si>
  <si>
    <t>Sprint 14</t>
  </si>
  <si>
    <t>Generate Mandate Subscription/Redemption Data QA - unit-testing</t>
  </si>
  <si>
    <t>Sprint 15</t>
  </si>
  <si>
    <t>FAS 81812 Export Mandate Subscription/Redemption Data 全委申贖資料匯出</t>
  </si>
  <si>
    <t xml:space="preserve">Export Mandate Subscription/Redemption Data Requirement Analysis </t>
  </si>
  <si>
    <t xml:space="preserve">Export Mandate Subscription/Redemption Data Requirement  </t>
  </si>
  <si>
    <t>Export Mandate Subscription/Redemption Data - Development 1</t>
  </si>
  <si>
    <t>Sprint 16</t>
  </si>
  <si>
    <t>Export Mandate Subscription/Redemption Data - Development 2</t>
  </si>
  <si>
    <t>Export Mandate Subscription/Redemption Data QA - unit-testing</t>
  </si>
  <si>
    <t>Sprint 17</t>
  </si>
  <si>
    <t>FAS 81831 Generate SSB Mandate Subscription/Redemption Data 產生SSB全委申贖資料</t>
  </si>
  <si>
    <t xml:space="preserve">Generate SSB Mandate Subscription/Redemption Data Requirement Analysis </t>
  </si>
  <si>
    <t xml:space="preserve">Generate SSB Mandate Subscription/Redemption Data Requirement  </t>
  </si>
  <si>
    <t>Generate SSB Mandate Subscription/Redemption Data - Development 1</t>
  </si>
  <si>
    <t>Sprint 18</t>
  </si>
  <si>
    <t>Generate SSB Mandate Subscription/Redemption Data - Development 2</t>
  </si>
  <si>
    <t>Sprint 19</t>
  </si>
  <si>
    <t>Generate SSB Mandate Subscription/Redemption Data QA - unit-testing</t>
  </si>
  <si>
    <t>FAS 81832 Export SSB Mandate Subscription/Redemption Data 匯出SSB全委申贖資料</t>
  </si>
  <si>
    <t xml:space="preserve">Export SSB Mandate Subscription/Redemption Data Requirement Analysis </t>
  </si>
  <si>
    <t xml:space="preserve">Export SSB Mandate Subscription/Redemption Data Requirement  </t>
  </si>
  <si>
    <t>Export SSB Mandate Subscription/Redemption Data - Development 1</t>
  </si>
  <si>
    <t>Sprint 20</t>
  </si>
  <si>
    <t>Export SSB Mandate Subscription/Redemption Data - Development 2</t>
  </si>
  <si>
    <t>Export SSB Mandate Subscription/Redemption Data QA - unit-testing</t>
  </si>
  <si>
    <t>FAS 883 Fund NAV Auto Import Process 基金淨值自動匯入作業</t>
  </si>
  <si>
    <t xml:space="preserve">Fund NAV Auto Import Process Requirement Analysis </t>
    <phoneticPr fontId="10" type="noConversion"/>
  </si>
  <si>
    <t xml:space="preserve">Fund NAV Auto Import Process Data Requirement  </t>
    <phoneticPr fontId="10" type="noConversion"/>
  </si>
  <si>
    <t>Fund NAV Auto Import Process Data - Development 1</t>
    <phoneticPr fontId="10" type="noConversion"/>
  </si>
  <si>
    <t>Fund NAV Auto Import Process Data - Development 2</t>
    <phoneticPr fontId="10" type="noConversion"/>
  </si>
  <si>
    <t>Fund NAV Auto Import Process QA - unit-testing</t>
    <phoneticPr fontId="10" type="noConversion"/>
  </si>
  <si>
    <t>FAS 884 Fund NAV Import Status Inquiry 基金淨值匯入狀況查詢</t>
  </si>
  <si>
    <t xml:space="preserve">Fund NAV Import Status Inquiry Requirement Analysis </t>
    <phoneticPr fontId="10" type="noConversion"/>
  </si>
  <si>
    <t xml:space="preserve">Fund NAV Import Status Inquiry Data Requirement  </t>
    <phoneticPr fontId="10" type="noConversion"/>
  </si>
  <si>
    <t>Fund NAV Import Status Inquiry - Development 1</t>
    <phoneticPr fontId="10" type="noConversion"/>
  </si>
  <si>
    <t>Fund NAV Import Status Inquiry - Development 2</t>
    <phoneticPr fontId="10" type="noConversion"/>
  </si>
  <si>
    <t>Fund NAV Import Status Inquiry QA - unit-testing</t>
    <phoneticPr fontId="10" type="noConversion"/>
  </si>
  <si>
    <t>FAS 893 Calendar File - Mandate 全委日曆檔</t>
  </si>
  <si>
    <t xml:space="preserve">Calendar File Requirement Analysis </t>
    <phoneticPr fontId="10" type="noConversion"/>
  </si>
  <si>
    <t xml:space="preserve">Calendar File Requirement  </t>
    <phoneticPr fontId="10" type="noConversion"/>
  </si>
  <si>
    <t>Calendar File - Development 1</t>
    <phoneticPr fontId="10" type="noConversion"/>
  </si>
  <si>
    <t>Calendar File - Development 2</t>
    <phoneticPr fontId="10" type="noConversion"/>
  </si>
  <si>
    <t>Calendar File QA - unit-testing</t>
    <phoneticPr fontId="10" type="noConversion"/>
  </si>
  <si>
    <t>FAS 893 Payment Notice – Management Fee, Custody Fee 付款通知書-經理費、保管費</t>
  </si>
  <si>
    <t xml:space="preserve">Payment Notice – Management Fee, Custody Fee Requirement Analysis </t>
    <phoneticPr fontId="10" type="noConversion"/>
  </si>
  <si>
    <t xml:space="preserve">Payment Notice – Management Fee, Custody Fee Requirement  </t>
    <phoneticPr fontId="10" type="noConversion"/>
  </si>
  <si>
    <t>Payment Notice – Management Fee, Custody Fee - Development 1</t>
    <phoneticPr fontId="10" type="noConversion"/>
  </si>
  <si>
    <t>Payment Notice – Management Fee, Custody Fee - Development 2</t>
    <phoneticPr fontId="10" type="noConversion"/>
  </si>
  <si>
    <t>Payment Notice – Management Fee, Custody Fee QA - unit-testing</t>
    <phoneticPr fontId="10" type="noConversion"/>
  </si>
  <si>
    <t>FAS 893 Validation – Dividend Data 檢核-配息資料</t>
  </si>
  <si>
    <t xml:space="preserve">Validation – Dividend Data Requirement Analysis </t>
    <phoneticPr fontId="10" type="noConversion"/>
  </si>
  <si>
    <t xml:space="preserve">Validation – Dividend Data Requirement  </t>
    <phoneticPr fontId="10" type="noConversion"/>
  </si>
  <si>
    <t>Validation – Dividend Data - Development 1</t>
    <phoneticPr fontId="10" type="noConversion"/>
  </si>
  <si>
    <t>Validation – Dividend Data - Development 2</t>
    <phoneticPr fontId="10" type="noConversion"/>
  </si>
  <si>
    <t>Validation – Dividend Data QA - unit-testing</t>
    <phoneticPr fontId="10" type="noConversion"/>
  </si>
  <si>
    <t>FAS 893 Payment Notice – Dividend Distribution</t>
  </si>
  <si>
    <t xml:space="preserve">Payment Notice – Dividend Distribution Requirement Analysis </t>
  </si>
  <si>
    <t xml:space="preserve">Payment Notice – Dividend Distribution Requirement  </t>
  </si>
  <si>
    <t>Sprint 21</t>
  </si>
  <si>
    <t>Payment Notice – Dividend Distribution - Development 1</t>
  </si>
  <si>
    <t>Payment Notice – Dividend Distribution - Development 2</t>
  </si>
  <si>
    <t>Payment Notice – Dividend Distribution QA - unit-testing</t>
  </si>
  <si>
    <t>FAS 893 Payment Notice – Dividend Instruction Printing</t>
  </si>
  <si>
    <t xml:space="preserve">Payment Notice – Dividend Instruction Printing Requirement Analysis </t>
    <phoneticPr fontId="10" type="noConversion"/>
  </si>
  <si>
    <t xml:space="preserve">Payment Notice – Dividend Instruction Printing Requirement  </t>
    <phoneticPr fontId="10" type="noConversion"/>
  </si>
  <si>
    <t>Sprint 22</t>
  </si>
  <si>
    <t>Payment Notice – Dividend Instruction Printing - Development 1</t>
    <phoneticPr fontId="10" type="noConversion"/>
  </si>
  <si>
    <t>Payment Notice – Dividend Instruction Printing - Development 2</t>
    <phoneticPr fontId="10" type="noConversion"/>
  </si>
  <si>
    <t>Payment Notice – Dividend Instruction Printing QA - unit-testing</t>
    <phoneticPr fontId="10" type="noConversion"/>
  </si>
  <si>
    <t>DMS 271 Mandate Data Generation Process 全委資料產生作業</t>
  </si>
  <si>
    <t xml:space="preserve">Mandate Data Generation Process Requirement Analysis </t>
  </si>
  <si>
    <t>Mandate Data Generation Process Requirement Doc</t>
  </si>
  <si>
    <t>Mandate Data Generation Process - Development 1</t>
  </si>
  <si>
    <t>Mandate Data Generation Process - Development 2</t>
  </si>
  <si>
    <t>Mandate Data Generation Process QA - unit-testing</t>
  </si>
  <si>
    <t>DMS 272 Mandate Data Maintenance Process 全委資料維護作業</t>
  </si>
  <si>
    <t xml:space="preserve">Mandate Data Maintenance Process Requirement Analysis </t>
  </si>
  <si>
    <t>Mandate Data Maintenance Process Requirement Doc</t>
  </si>
  <si>
    <t>Mandate Data Maintenance Process - Development 1</t>
  </si>
  <si>
    <t>Mandate Data Maintenance Process - Development 2</t>
  </si>
  <si>
    <t>Mandate Data Maintenance Process QA - unit-testing</t>
  </si>
  <si>
    <t>DMS 593916 Subscription/Redemption Posting Details Report 申購贖回入帳明細表</t>
  </si>
  <si>
    <t xml:space="preserve">Subscription/Redemption Posting Details Report Requirement Analysis </t>
    <phoneticPr fontId="10" type="noConversion"/>
  </si>
  <si>
    <t>Subscription/Redemption Posting Details Report Requirement Doc</t>
  </si>
  <si>
    <t>Subscription/Redemption Posting Details Report - Development 1</t>
    <phoneticPr fontId="10" type="noConversion"/>
  </si>
  <si>
    <t>Subscription/Redemption Posting Details Report - Development 2</t>
    <phoneticPr fontId="10" type="noConversion"/>
  </si>
  <si>
    <t>Subscription/Redemption Posting Details Report QA - unit-testing</t>
    <phoneticPr fontId="10" type="noConversion"/>
  </si>
  <si>
    <t>DMS 6571B Mandate Contract Asset Movement Report 全委契約資產動動表</t>
  </si>
  <si>
    <t xml:space="preserve">Mandate Contract Asset Movement Report Requirement Analysis </t>
  </si>
  <si>
    <t xml:space="preserve">Mandate Contract Asset Movement Report Requirement Doc </t>
  </si>
  <si>
    <t>Mandate Contract Asset Movement Report - Development 1</t>
  </si>
  <si>
    <t>Mandate Contract Asset Movement Report - Development 2</t>
  </si>
  <si>
    <t>Mandate Contract Asset Movement Report QA - unit-testing</t>
  </si>
  <si>
    <t>DMS 65731 PAMS Inventory File Export PAMS 庫存檔轉出</t>
  </si>
  <si>
    <t xml:space="preserve">PAMS Inventory File Export Requirement Analysis </t>
    <phoneticPr fontId="10" type="noConversion"/>
  </si>
  <si>
    <t>PAMS Inventory File Export Requirement Doc</t>
  </si>
  <si>
    <t>PAMS Inventory File Export - Development 1</t>
    <phoneticPr fontId="10" type="noConversion"/>
  </si>
  <si>
    <t>PAMS Inventory File Export - Development 2</t>
    <phoneticPr fontId="10" type="noConversion"/>
  </si>
  <si>
    <t>PAMS Inventory File Export QA - unit-testing</t>
    <phoneticPr fontId="10" type="noConversion"/>
  </si>
  <si>
    <t>DMS 756 Mandate Stock Stop-Loss Control Table 全權委託股票停損控管表</t>
  </si>
  <si>
    <t xml:space="preserve">Mandate Stock Stop-Loss Control Table Requirement Analysis </t>
  </si>
  <si>
    <t xml:space="preserve">Mandate Stock Stop-Loss Control Table Requirement  </t>
  </si>
  <si>
    <t>Mandate Stock Stop-Loss Control Table - Development 1</t>
  </si>
  <si>
    <t>Mandate Stock Stop-Loss Control Table - Development 2</t>
  </si>
  <si>
    <t>Mandate Stock Stop-Loss Control Table QA - unit-testing</t>
  </si>
  <si>
    <t>Report - 基金規模報表查詢</t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</si>
  <si>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Requirement Analysis </t>
    </r>
    <phoneticPr fontId="10" type="noConversion"/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</si>
  <si>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Requirement</t>
    </r>
    <r>
      <rPr>
        <sz val="10"/>
        <color theme="1"/>
        <rFont val="Calibri"/>
        <family val="2"/>
      </rPr>
      <t xml:space="preserve"> Doc</t>
    </r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</si>
  <si>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- Development</t>
    </r>
    <phoneticPr fontId="10" type="noConversion"/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</si>
  <si>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QA - unit-testing</t>
    </r>
    <phoneticPr fontId="10" type="noConversion"/>
  </si>
  <si>
    <t>DMS 744 Taiwan Ratings Reporting Data 中華信評申報資料</t>
  </si>
  <si>
    <r>
      <t>Taiwan Ratings Reporting Data</t>
    </r>
    <r>
      <rPr>
        <sz val="10"/>
        <color theme="1"/>
        <rFont val="Calibri"/>
        <family val="2"/>
      </rPr>
      <t xml:space="preserve"> Requirement Analysis </t>
    </r>
  </si>
  <si>
    <t>Sprint 23</t>
  </si>
  <si>
    <t>Taiwan Ratings Reporting Data  Requirement Doc</t>
  </si>
  <si>
    <r>
      <t xml:space="preserve">Taiwan Ratings Reporting Data </t>
    </r>
    <r>
      <rPr>
        <sz val="10"/>
        <color theme="1"/>
        <rFont val="Calibri"/>
        <family val="2"/>
      </rPr>
      <t xml:space="preserve"> - Development</t>
    </r>
  </si>
  <si>
    <r>
      <t xml:space="preserve">Taiwan Ratings Reporting Data </t>
    </r>
    <r>
      <rPr>
        <sz val="10"/>
        <color theme="1"/>
        <rFont val="Calibri"/>
        <family val="2"/>
      </rPr>
      <t xml:space="preserve"> QA - unit-testing</t>
    </r>
  </si>
  <si>
    <t>DMS 758 Mutual Fund Asset Size Export Process 共同基金資產規模轉出作業</t>
  </si>
  <si>
    <t xml:space="preserve">Mutual Fund Asset Size Export Process Requirement Analysis </t>
  </si>
  <si>
    <t>Sprint 24</t>
  </si>
  <si>
    <t>Mutual Fund Asset Size Export Process  Requirement Doc</t>
  </si>
  <si>
    <t>Mutual Fund Asset Size Export Process  - Development</t>
  </si>
  <si>
    <t>Mutual Fund Asset Size Export Process - unit-testing</t>
  </si>
  <si>
    <t xml:space="preserve">Generate Shareholder Meeting Data </t>
  </si>
  <si>
    <t xml:space="preserve">Generate Shareholder Meeting Data  Requirement Analysis </t>
  </si>
  <si>
    <t xml:space="preserve">Generate Shareholder Meeting Data  Requirement  </t>
  </si>
  <si>
    <t>Sprint 25</t>
  </si>
  <si>
    <t>Generate Shareholder Meeting Data  - Development 1</t>
  </si>
  <si>
    <t>Generate Shareholder Meeting Data  - Development 2</t>
  </si>
  <si>
    <t>Generate Shareholder Meeting Data  QA - unit-testing</t>
  </si>
  <si>
    <t>Sprint 26</t>
  </si>
  <si>
    <t xml:space="preserve">Generate Memo for Assigned Personnel/Function </t>
  </si>
  <si>
    <t xml:space="preserve">Generate Memo for Assigned Personnel/Function Requirement Analysis </t>
  </si>
  <si>
    <t xml:space="preserve">Generate Memo for Assigned Personnel/Function Requirement  </t>
  </si>
  <si>
    <t>Generate Memo for Assigned Personnel/Function - Development 1</t>
  </si>
  <si>
    <t>Generate Memo for Assigned Personnel/Function - Development 2</t>
  </si>
  <si>
    <t>Sprint 27</t>
  </si>
  <si>
    <t>Generate Memo for Assigned Personnel/Function QA - unit-testing</t>
  </si>
  <si>
    <t xml:space="preserve">Director/Supervisor Election Report/Function  </t>
  </si>
  <si>
    <t xml:space="preserve">Director/Supervisor Election Report/Function Requirement Analysis </t>
  </si>
  <si>
    <t xml:space="preserve">Director/Supervisor Election Report/Function Requirement  </t>
  </si>
  <si>
    <t>Director/Supervisor Election Report/Function - Development 1</t>
  </si>
  <si>
    <t>Director/Supervisor Election Report/Function - Development 2</t>
  </si>
  <si>
    <t>Sprint 28</t>
  </si>
  <si>
    <t>Director/Supervisor Election Report/Function QA - unit-testing</t>
  </si>
  <si>
    <t xml:space="preserve">Shareholder Meeting Fund Attendance Details Report </t>
  </si>
  <si>
    <t xml:space="preserve">Shareholder Meeting Fund Attendance Details Report Requirement Analysis </t>
  </si>
  <si>
    <t xml:space="preserve">Shareholder Meeting Fund Attendance Details Report Requirement  </t>
  </si>
  <si>
    <t>Shareholder Meeting Fund Attendance Details Report - Development 1</t>
  </si>
  <si>
    <t>Shareholder Meeting Fund Attendance Details Report - Development 2</t>
  </si>
  <si>
    <t>Shareholder Meeting Fund Attendance Details Report QA - unit-testing</t>
  </si>
  <si>
    <t xml:space="preserve">Shareholder Meeting Missing Election Report Details  </t>
  </si>
  <si>
    <t xml:space="preserve">Shareholder Meeting Missing Election Report Details Requirement Analysis </t>
  </si>
  <si>
    <t xml:space="preserve">Shareholder Meeting Missing Election Report Details Report Requirement  </t>
  </si>
  <si>
    <t>Shareholder Meeting Missing Election Report Details Report - Development 1</t>
  </si>
  <si>
    <t>Sprint 29</t>
  </si>
  <si>
    <t>Shareholder Meeting Missing Election Report Details - Development 2</t>
  </si>
  <si>
    <t>Shareholder Meeting Missing Election Report Details QA - unit-testing</t>
  </si>
  <si>
    <t>Stock Basic Data Maintenance</t>
  </si>
  <si>
    <t xml:space="preserve">Stock Basic Data Maintenance Requirement Analysis </t>
  </si>
  <si>
    <t xml:space="preserve">Stock Basic Data Maintenance Requirement  </t>
  </si>
  <si>
    <t>Stock Basic Data Maintenance - Development 1</t>
  </si>
  <si>
    <t>Stock Basic Data Maintenance - Development 2</t>
  </si>
  <si>
    <t>Sprint 30</t>
  </si>
  <si>
    <t>Stock Basic Data Maintenance QA - unit-testing</t>
  </si>
  <si>
    <t>FrontEnd</t>
  </si>
  <si>
    <t>QA</t>
  </si>
  <si>
    <t>Sprint30</t>
  </si>
  <si>
    <t>Pararell Run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</si>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</sst>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m&quot;月&quot;d&quot;日&quot;"/>
    <numFmt numFmtId="178" formatCode="[$NTD]\ #,##0"/>
  </numFmts>
  <fonts count="18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8"/>
      <color theme="7" tint="-0.499984740745262"/>
      <name val="Calibri"/>
      <family val="2"/>
    </font>
    <font>
      <b/>
      <sz val="16"/>
      <color theme="7" tint="-0.499984740745262"/>
      <name val="Calibri"/>
      <family val="2"/>
    </font>
    <font>
      <sz val="18"/>
      <color theme="1"/>
      <name val="Calibri"/>
      <family val="2"/>
    </font>
    <font>
      <b/>
      <sz val="11"/>
      <color theme="7" tint="-0.499984740745262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9"/>
      <name val="新細明體"/>
      <family val="3"/>
      <charset val="136"/>
      <scheme val="minor"/>
    </font>
    <font>
      <sz val="16"/>
      <color theme="1"/>
      <name val="Calibri"/>
      <family val="2"/>
    </font>
    <font>
      <sz val="10"/>
      <color theme="1"/>
      <name val="Calibri"/>
      <family val="2"/>
    </font>
    <font>
      <sz val="11"/>
      <color theme="0" tint="-4.9989318521683403E-2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rgb="FFFF0000"/>
      <name val="Calibri"/>
      <family val="2"/>
    </font>
    <font>
      <sz val="10"/>
      <color theme="1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1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/>
  </cellStyleXfs>
  <cellXfs count="59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3" borderId="0" xfId="1" applyFont="1" applyFill="1" applyAlignment="1">
      <alignment horizontal="left" vertical="center" indent="1"/>
    </xf>
    <xf numFmtId="0" fontId="6" fillId="4" borderId="1" xfId="1" applyFont="1" applyFill="1" applyBorder="1" applyAlignment="1">
      <alignment vertical="center"/>
    </xf>
    <xf numFmtId="0" fontId="5" fillId="4" borderId="1" xfId="1" applyFont="1" applyFill="1" applyBorder="1" applyAlignment="1">
      <alignment horizontal="left" vertical="center" indent="1"/>
    </xf>
    <xf numFmtId="0" fontId="7" fillId="4" borderId="1" xfId="1" applyFont="1" applyFill="1" applyBorder="1" applyAlignment="1">
      <alignment horizontal="left" vertical="center" indent="1"/>
    </xf>
    <xf numFmtId="0" fontId="2" fillId="4" borderId="1" xfId="1" applyFont="1" applyFill="1" applyBorder="1" applyAlignment="1">
      <alignment vertical="center"/>
    </xf>
    <xf numFmtId="0" fontId="8" fillId="5" borderId="0" xfId="1" applyFont="1" applyFill="1" applyAlignment="1">
      <alignment horizontal="right" vertical="center" indent="1"/>
    </xf>
    <xf numFmtId="0" fontId="8" fillId="6" borderId="0" xfId="1" applyFont="1" applyFill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2" fillId="6" borderId="0" xfId="1" applyFont="1" applyFill="1" applyAlignment="1">
      <alignment horizontal="center" vertical="center"/>
    </xf>
    <xf numFmtId="0" fontId="2" fillId="7" borderId="0" xfId="1" applyFont="1" applyFill="1" applyAlignment="1">
      <alignment horizontal="center" vertical="center" wrapText="1"/>
    </xf>
    <xf numFmtId="0" fontId="2" fillId="8" borderId="0" xfId="1" applyFont="1" applyFill="1" applyAlignment="1">
      <alignment horizontal="right" vertical="center"/>
    </xf>
    <xf numFmtId="0" fontId="2" fillId="3" borderId="0" xfId="1" applyFont="1" applyFill="1" applyAlignment="1">
      <alignment horizontal="left" vertical="center" indent="1"/>
    </xf>
    <xf numFmtId="0" fontId="2" fillId="8" borderId="0" xfId="1" applyFont="1" applyFill="1" applyAlignment="1">
      <alignment horizontal="center" vertical="center"/>
    </xf>
    <xf numFmtId="14" fontId="2" fillId="3" borderId="0" xfId="1" applyNumberFormat="1" applyFont="1" applyFill="1" applyAlignment="1">
      <alignment horizontal="center" vertical="center"/>
    </xf>
    <xf numFmtId="0" fontId="2" fillId="7" borderId="0" xfId="1" applyFont="1" applyFill="1" applyAlignment="1">
      <alignment horizontal="center" vertical="center"/>
    </xf>
    <xf numFmtId="176" fontId="2" fillId="0" borderId="0" xfId="1" applyNumberFormat="1" applyFont="1" applyAlignment="1">
      <alignment vertical="center"/>
    </xf>
    <xf numFmtId="0" fontId="9" fillId="0" borderId="2" xfId="1" applyFont="1" applyBorder="1" applyAlignment="1">
      <alignment horizontal="left"/>
    </xf>
    <xf numFmtId="0" fontId="9" fillId="0" borderId="2" xfId="1" applyFont="1" applyBorder="1" applyAlignment="1">
      <alignment horizontal="center"/>
    </xf>
    <xf numFmtId="0" fontId="8" fillId="0" borderId="2" xfId="1" applyFont="1" applyBorder="1" applyAlignment="1">
      <alignment horizontal="center" vertical="center"/>
    </xf>
    <xf numFmtId="9" fontId="11" fillId="3" borderId="0" xfId="2" applyFont="1" applyFill="1" applyAlignment="1">
      <alignment horizontal="center" vertical="center"/>
    </xf>
    <xf numFmtId="0" fontId="12" fillId="0" borderId="2" xfId="1" applyFont="1" applyBorder="1"/>
    <xf numFmtId="0" fontId="12" fillId="0" borderId="2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177" fontId="2" fillId="0" borderId="2" xfId="1" quotePrefix="1" applyNumberFormat="1" applyFont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12" fillId="9" borderId="2" xfId="1" applyFont="1" applyFill="1" applyBorder="1"/>
    <xf numFmtId="178" fontId="2" fillId="0" borderId="0" xfId="1" applyNumberFormat="1" applyFont="1" applyAlignment="1">
      <alignment vertical="center"/>
    </xf>
    <xf numFmtId="0" fontId="2" fillId="0" borderId="2" xfId="1" quotePrefix="1" applyFont="1" applyBorder="1" applyAlignment="1">
      <alignment horizontal="center" vertical="center"/>
    </xf>
    <xf numFmtId="0" fontId="2" fillId="0" borderId="0" xfId="1" applyFont="1" applyAlignment="1">
      <alignment horizontal="left" vertical="center" indent="1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9" fontId="13" fillId="0" borderId="0" xfId="1" applyNumberFormat="1" applyFont="1" applyAlignment="1">
      <alignment horizontal="center" vertical="center"/>
    </xf>
    <xf numFmtId="9" fontId="2" fillId="0" borderId="0" xfId="2" applyFont="1" applyAlignment="1">
      <alignment vertical="center"/>
    </xf>
    <xf numFmtId="0" fontId="12" fillId="7" borderId="2" xfId="1" applyFont="1" applyFill="1" applyBorder="1"/>
    <xf numFmtId="0" fontId="14" fillId="4" borderId="0" xfId="1" applyFont="1" applyFill="1" applyAlignment="1">
      <alignment horizontal="left" vertical="center" indent="1"/>
    </xf>
    <xf numFmtId="0" fontId="15" fillId="4" borderId="0" xfId="1" applyFont="1" applyFill="1" applyAlignment="1">
      <alignment horizontal="left" vertical="center" indent="1"/>
    </xf>
    <xf numFmtId="0" fontId="14" fillId="4" borderId="0" xfId="1" applyFont="1" applyFill="1" applyAlignment="1">
      <alignment horizontal="center" vertical="center" wrapText="1"/>
    </xf>
    <xf numFmtId="0" fontId="14" fillId="4" borderId="0" xfId="1" applyFont="1" applyFill="1" applyAlignment="1">
      <alignment horizontal="center" vertical="center"/>
    </xf>
    <xf numFmtId="0" fontId="12" fillId="0" borderId="0" xfId="1" applyFont="1"/>
    <xf numFmtId="0" fontId="12" fillId="0" borderId="0" xfId="1" applyFont="1" applyAlignment="1">
      <alignment horizontal="left" vertical="center" indent="1"/>
    </xf>
    <xf numFmtId="176" fontId="12" fillId="0" borderId="0" xfId="1" applyNumberFormat="1" applyFont="1" applyAlignment="1">
      <alignment horizontal="center" vertical="center"/>
    </xf>
    <xf numFmtId="14" fontId="12" fillId="0" borderId="0" xfId="1" applyNumberFormat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9" fontId="12" fillId="0" borderId="0" xfId="2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7" borderId="0" xfId="1" applyFont="1" applyFill="1" applyAlignment="1">
      <alignment horizontal="left" vertical="center" indent="1"/>
    </xf>
    <xf numFmtId="0" fontId="12" fillId="7" borderId="0" xfId="1" applyFont="1" applyFill="1" applyAlignment="1">
      <alignment horizontal="left" vertical="center"/>
    </xf>
    <xf numFmtId="176" fontId="12" fillId="7" borderId="0" xfId="1" applyNumberFormat="1" applyFont="1" applyFill="1" applyAlignment="1">
      <alignment horizontal="center" vertical="center"/>
    </xf>
    <xf numFmtId="14" fontId="12" fillId="7" borderId="0" xfId="1" applyNumberFormat="1" applyFont="1" applyFill="1" applyAlignment="1">
      <alignment horizontal="center" vertical="center"/>
    </xf>
    <xf numFmtId="9" fontId="12" fillId="7" borderId="0" xfId="2" applyFont="1" applyFill="1" applyAlignment="1">
      <alignment horizontal="center" vertical="center"/>
    </xf>
    <xf numFmtId="0" fontId="12" fillId="0" borderId="0" xfId="1" applyFont="1" applyAlignment="1">
      <alignment horizontal="left" indent="1"/>
    </xf>
    <xf numFmtId="0" fontId="12" fillId="7" borderId="0" xfId="1" applyFont="1" applyFill="1" applyAlignment="1">
      <alignment horizontal="left" indent="1"/>
    </xf>
    <xf numFmtId="14" fontId="9" fillId="0" borderId="0" xfId="1" applyNumberFormat="1" applyFont="1" applyAlignment="1">
      <alignment horizontal="center" vertical="center"/>
    </xf>
    <xf numFmtId="0" fontId="2" fillId="0" borderId="0" xfId="1" applyFont="1"/>
  </cellXfs>
  <cellStyles count="3">
    <cellStyle name="一般" xfId="0" builtinId="0"/>
    <cellStyle name="一般 2" xfId="1" xr:uid="{46D25039-37BB-4018-A114-24C4293C441A}"/>
    <cellStyle name="百分比 2" xfId="2" xr:uid="{C22ACEBC-82E1-40F4-A445-7E6BAEA20D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458E-A928-47ED-B9E8-D2D47DFB6EB1}">
  <sheetPr filterMode="1">
    <tabColor rgb="FF92D050"/>
  </sheetPr>
  <dimension ref="A1:U246"/>
  <sheetViews>
    <sheetView tabSelected="1" zoomScaleNormal="100" workbookViewId="0">
      <pane ySplit="10" topLeftCell="A38" activePane="bottomLeft" state="frozen"/>
      <selection pane="bottomLeft" activeCell="N51" sqref="N51"/>
    </sheetView>
  </sheetViews>
  <sheetFormatPr defaultColWidth="7.625" defaultRowHeight="15" x14ac:dyDescent="0.25"/>
  <cols>
    <col min="1" max="1" width="11.25" style="43" customWidth="1"/>
    <col min="2" max="2" width="9.75" style="43" customWidth="1"/>
    <col min="3" max="3" width="47.5" style="43" customWidth="1"/>
    <col min="4" max="4" width="13.375" style="43" customWidth="1"/>
    <col min="5" max="5" width="59.75" style="43" hidden="1" customWidth="1"/>
    <col min="6" max="6" width="14.5" style="58" hidden="1" customWidth="1"/>
    <col min="7" max="7" width="11.75" style="43" customWidth="1"/>
    <col min="8" max="8" width="11.25" style="43" customWidth="1"/>
    <col min="9" max="9" width="10.5" style="43" customWidth="1"/>
    <col min="10" max="10" width="11.75" style="43" customWidth="1"/>
    <col min="11" max="11" width="8.125" style="43" bestFit="1" customWidth="1"/>
    <col min="12" max="12" width="9.125" style="43" bestFit="1" customWidth="1"/>
    <col min="13" max="13" width="8" style="43" bestFit="1" customWidth="1"/>
    <col min="14" max="14" width="11.75" style="43" bestFit="1" customWidth="1"/>
    <col min="15" max="15" width="9.875" style="43" customWidth="1"/>
    <col min="16" max="16" width="13.375" style="43" customWidth="1"/>
    <col min="17" max="17" width="18.125" style="43" customWidth="1"/>
    <col min="18" max="19" width="7.625" style="43"/>
    <col min="20" max="20" width="12.625" style="43" customWidth="1"/>
    <col min="21" max="21" width="11.25" style="43" customWidth="1"/>
    <col min="22" max="16384" width="7.625" style="43"/>
  </cols>
  <sheetData>
    <row r="1" spans="1:21" s="1" customFormat="1" ht="24" customHeight="1" x14ac:dyDescent="0.25"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</row>
    <row r="2" spans="1:21" s="1" customFormat="1" ht="5.25" customHeight="1" thickBot="1" x14ac:dyDescent="0.3">
      <c r="B2" s="4"/>
      <c r="C2" s="5"/>
      <c r="D2" s="5"/>
      <c r="E2" s="5"/>
      <c r="F2" s="6"/>
      <c r="G2" s="5"/>
      <c r="H2" s="5"/>
      <c r="I2" s="5"/>
      <c r="J2" s="5"/>
      <c r="K2" s="5"/>
      <c r="L2" s="5"/>
      <c r="M2" s="7"/>
      <c r="N2" s="7"/>
      <c r="O2" s="7"/>
      <c r="P2" s="7"/>
    </row>
    <row r="3" spans="1:21" s="1" customFormat="1" ht="14.45" customHeight="1" x14ac:dyDescent="0.25">
      <c r="B3" s="8" t="s">
        <v>1</v>
      </c>
      <c r="C3" s="9">
        <f>COUNTA(E17:E1048576)</f>
        <v>229</v>
      </c>
      <c r="D3" s="9"/>
      <c r="E3" s="10"/>
      <c r="F3" s="10"/>
      <c r="G3" s="11" t="s">
        <v>2</v>
      </c>
      <c r="H3" s="12">
        <f>H5-H4+1</f>
        <v>593</v>
      </c>
      <c r="I3" s="10"/>
      <c r="J3" s="13" t="s">
        <v>3</v>
      </c>
      <c r="K3" s="10"/>
    </row>
    <row r="4" spans="1:21" s="1" customFormat="1" ht="14.45" customHeight="1" x14ac:dyDescent="0.2">
      <c r="B4" s="14" t="s">
        <v>4</v>
      </c>
      <c r="C4" s="15">
        <f>COUNTIF(L17:L1048576,B4)</f>
        <v>0</v>
      </c>
      <c r="D4" s="15"/>
      <c r="E4" s="10"/>
      <c r="F4" s="10"/>
      <c r="G4" s="16" t="s">
        <v>5</v>
      </c>
      <c r="H4" s="17">
        <f>MIN(I11:I1048576)</f>
        <v>45915</v>
      </c>
      <c r="I4" s="10"/>
      <c r="J4" s="18"/>
      <c r="K4" s="10"/>
      <c r="L4" s="19">
        <f>SUM(H11:H16)</f>
        <v>24</v>
      </c>
      <c r="N4" s="20" t="s">
        <v>6</v>
      </c>
      <c r="O4" s="21" t="s">
        <v>7</v>
      </c>
      <c r="P4" s="1" t="s">
        <v>8</v>
      </c>
      <c r="T4" s="22" t="s">
        <v>9</v>
      </c>
      <c r="U4" s="22" t="s">
        <v>10</v>
      </c>
    </row>
    <row r="5" spans="1:21" s="1" customFormat="1" ht="14.45" customHeight="1" x14ac:dyDescent="0.2">
      <c r="B5" s="14" t="s">
        <v>11</v>
      </c>
      <c r="C5" s="15">
        <f>COUNTIF(L17:L1048576,B5)</f>
        <v>9</v>
      </c>
      <c r="D5" s="15"/>
      <c r="E5" s="10"/>
      <c r="F5" s="10"/>
      <c r="G5" s="16" t="s">
        <v>12</v>
      </c>
      <c r="H5" s="17">
        <f>MAX(J11:J1048576)</f>
        <v>46507</v>
      </c>
      <c r="I5" s="10"/>
      <c r="J5" s="23"/>
      <c r="K5" s="10"/>
      <c r="L5" s="19">
        <f>SUM(H11:H215)</f>
        <v>414</v>
      </c>
      <c r="N5" s="24" t="s">
        <v>13</v>
      </c>
      <c r="O5" s="25">
        <v>1</v>
      </c>
      <c r="Q5" s="1" t="s">
        <v>14</v>
      </c>
      <c r="T5" s="26" t="s">
        <v>15</v>
      </c>
      <c r="U5" s="27" t="s">
        <v>16</v>
      </c>
    </row>
    <row r="6" spans="1:21" s="1" customFormat="1" ht="14.45" customHeight="1" x14ac:dyDescent="0.2">
      <c r="B6" s="14" t="s">
        <v>17</v>
      </c>
      <c r="C6" s="15">
        <f>COUNTIF(L17:L1048576,B6)</f>
        <v>221</v>
      </c>
      <c r="D6" s="15"/>
      <c r="E6" s="10"/>
      <c r="F6" s="10"/>
      <c r="G6" s="16"/>
      <c r="H6" s="28"/>
      <c r="I6" s="10"/>
      <c r="J6" s="23"/>
      <c r="K6" s="10"/>
      <c r="N6" s="29" t="s">
        <v>18</v>
      </c>
      <c r="O6" s="25">
        <v>1</v>
      </c>
      <c r="P6" s="30">
        <f>145000*1.05</f>
        <v>152250</v>
      </c>
      <c r="Q6" s="30">
        <f>P6*12</f>
        <v>1827000</v>
      </c>
      <c r="T6" s="26" t="s">
        <v>19</v>
      </c>
      <c r="U6" s="31" t="s">
        <v>20</v>
      </c>
    </row>
    <row r="7" spans="1:21" s="1" customFormat="1" ht="14.45" customHeight="1" x14ac:dyDescent="0.2">
      <c r="B7" s="32"/>
      <c r="C7" s="32"/>
      <c r="D7" s="33" t="s">
        <v>21</v>
      </c>
      <c r="E7" s="34"/>
      <c r="F7" s="34"/>
      <c r="G7" s="33"/>
      <c r="H7" s="35" t="s">
        <v>22</v>
      </c>
      <c r="I7" s="10"/>
      <c r="J7" s="36">
        <f>1-J5</f>
        <v>1</v>
      </c>
      <c r="K7" s="10"/>
      <c r="L7" s="37"/>
      <c r="N7" s="38" t="s">
        <v>23</v>
      </c>
      <c r="O7" s="25">
        <v>1</v>
      </c>
      <c r="Q7" s="1" t="s">
        <v>24</v>
      </c>
      <c r="T7" s="26" t="s">
        <v>25</v>
      </c>
      <c r="U7" s="27" t="s">
        <v>26</v>
      </c>
    </row>
    <row r="8" spans="1:21" s="1" customFormat="1" x14ac:dyDescent="0.2">
      <c r="B8" s="32"/>
      <c r="C8" s="32"/>
      <c r="D8" s="32"/>
      <c r="E8" s="10"/>
      <c r="F8" s="10"/>
      <c r="G8" s="10"/>
      <c r="H8" s="10"/>
      <c r="I8" s="10"/>
      <c r="J8" s="36"/>
      <c r="K8" s="10"/>
      <c r="L8" s="37"/>
      <c r="N8" s="29" t="s">
        <v>27</v>
      </c>
      <c r="O8" s="25">
        <v>1</v>
      </c>
      <c r="P8" s="30">
        <f>145000*1.05</f>
        <v>152250</v>
      </c>
      <c r="Q8" s="30">
        <f>P8*12</f>
        <v>1827000</v>
      </c>
      <c r="T8" s="10"/>
    </row>
    <row r="9" spans="1:21" s="1" customFormat="1" hidden="1" x14ac:dyDescent="0.2">
      <c r="B9" s="32"/>
      <c r="C9" s="32"/>
      <c r="D9" s="32"/>
      <c r="E9" s="10"/>
      <c r="F9" s="10"/>
      <c r="G9" s="10"/>
      <c r="H9" s="10"/>
      <c r="I9" s="10"/>
      <c r="J9" s="36"/>
      <c r="K9" s="10"/>
      <c r="L9" s="37"/>
      <c r="N9" s="24" t="s">
        <v>28</v>
      </c>
      <c r="O9" s="25">
        <v>0.5</v>
      </c>
      <c r="T9" s="10"/>
    </row>
    <row r="10" spans="1:21" ht="25.5" x14ac:dyDescent="0.2">
      <c r="A10" s="39" t="s">
        <v>29</v>
      </c>
      <c r="B10" s="39" t="s">
        <v>30</v>
      </c>
      <c r="C10" s="39" t="s">
        <v>31</v>
      </c>
      <c r="D10" s="39" t="s">
        <v>32</v>
      </c>
      <c r="E10" s="39" t="s">
        <v>33</v>
      </c>
      <c r="F10" s="40" t="s">
        <v>34</v>
      </c>
      <c r="G10" s="39" t="s">
        <v>35</v>
      </c>
      <c r="H10" s="41" t="s">
        <v>36</v>
      </c>
      <c r="I10" s="42" t="s">
        <v>5</v>
      </c>
      <c r="J10" s="42" t="s">
        <v>12</v>
      </c>
      <c r="K10" s="42" t="s">
        <v>2</v>
      </c>
      <c r="L10" s="42" t="s">
        <v>37</v>
      </c>
    </row>
    <row r="11" spans="1:21" hidden="1" x14ac:dyDescent="0.2">
      <c r="A11" s="44" t="s">
        <v>38</v>
      </c>
      <c r="B11" s="43" t="s">
        <v>39</v>
      </c>
      <c r="C11" s="44" t="s">
        <v>40</v>
      </c>
      <c r="D11" s="44" t="s">
        <v>41</v>
      </c>
      <c r="E11" s="44" t="s">
        <v>42</v>
      </c>
      <c r="F11" s="10" t="str" cm="1">
        <f t="array" ref="F11">_xlfn.IFS(H11="","", H11&lt;=2,"Low", H11&lt;=5,"Mid", H11&lt;=8,"High", TRUE,"Out of Range")</f>
        <v>Mid</v>
      </c>
      <c r="G11" s="44" t="s">
        <v>43</v>
      </c>
      <c r="H11" s="45">
        <v>3</v>
      </c>
      <c r="I11" s="46">
        <v>45915</v>
      </c>
      <c r="J11" s="46">
        <f t="shared" ref="J11:J36" si="0">WORKDAY(I11,K11)</f>
        <v>45918</v>
      </c>
      <c r="K11" s="47">
        <f t="shared" ref="K11:K16" si="1">H11/$O$5</f>
        <v>3</v>
      </c>
      <c r="L11" s="48" t="s">
        <v>4</v>
      </c>
    </row>
    <row r="12" spans="1:21" hidden="1" x14ac:dyDescent="0.2">
      <c r="A12" s="44" t="s">
        <v>38</v>
      </c>
      <c r="B12" s="43" t="s">
        <v>39</v>
      </c>
      <c r="C12" s="44" t="s">
        <v>44</v>
      </c>
      <c r="D12" s="44" t="s">
        <v>41</v>
      </c>
      <c r="E12" s="44" t="s">
        <v>45</v>
      </c>
      <c r="F12" s="10" t="str" cm="1">
        <f t="array" ref="F12">_xlfn.IFS(H12="","", H12&lt;=2,"Low", H12&lt;=5,"Mid", H12&lt;=8,"High", TRUE,"Out of Range")</f>
        <v>Mid</v>
      </c>
      <c r="G12" s="44" t="s">
        <v>43</v>
      </c>
      <c r="H12" s="45">
        <v>3</v>
      </c>
      <c r="I12" s="46">
        <f>WORKDAY(J11,1)</f>
        <v>45919</v>
      </c>
      <c r="J12" s="46">
        <f t="shared" si="0"/>
        <v>45924</v>
      </c>
      <c r="K12" s="47">
        <f t="shared" si="1"/>
        <v>3</v>
      </c>
      <c r="L12" s="48" t="s">
        <v>4</v>
      </c>
    </row>
    <row r="13" spans="1:21" hidden="1" x14ac:dyDescent="0.2">
      <c r="A13" s="44" t="s">
        <v>38</v>
      </c>
      <c r="B13" s="43" t="s">
        <v>39</v>
      </c>
      <c r="C13" s="44" t="s">
        <v>44</v>
      </c>
      <c r="D13" s="44" t="s">
        <v>46</v>
      </c>
      <c r="E13" s="44" t="s">
        <v>47</v>
      </c>
      <c r="F13" s="10" t="str" cm="1">
        <f t="array" ref="F13">_xlfn.IFS(H13="","", H13&lt;=2,"Low", H13&lt;=5,"Mid", H13&lt;=8,"High", TRUE,"Out of Range")</f>
        <v>Mid</v>
      </c>
      <c r="G13" s="44" t="s">
        <v>13</v>
      </c>
      <c r="H13" s="45">
        <v>5</v>
      </c>
      <c r="I13" s="46">
        <f>WORKDAY(J12,1)</f>
        <v>45925</v>
      </c>
      <c r="J13" s="46">
        <f t="shared" si="0"/>
        <v>45932</v>
      </c>
      <c r="K13" s="47">
        <f t="shared" si="1"/>
        <v>5</v>
      </c>
      <c r="L13" s="48" t="s">
        <v>4</v>
      </c>
    </row>
    <row r="14" spans="1:21" hidden="1" x14ac:dyDescent="0.2">
      <c r="A14" s="44" t="s">
        <v>38</v>
      </c>
      <c r="B14" s="43" t="s">
        <v>39</v>
      </c>
      <c r="C14" s="44" t="s">
        <v>44</v>
      </c>
      <c r="D14" s="44" t="s">
        <v>46</v>
      </c>
      <c r="E14" s="44" t="s">
        <v>48</v>
      </c>
      <c r="F14" s="10" t="str" cm="1">
        <f t="array" ref="F14">_xlfn.IFS(H14="","", H14&lt;=2,"Low", H14&lt;=5,"Mid", H14&lt;=8,"High", TRUE,"Out of Range")</f>
        <v>Mid</v>
      </c>
      <c r="G14" s="44" t="s">
        <v>13</v>
      </c>
      <c r="H14" s="45">
        <v>5</v>
      </c>
      <c r="I14" s="46">
        <f>WORKDAY(J13,1)</f>
        <v>45933</v>
      </c>
      <c r="J14" s="46">
        <f t="shared" si="0"/>
        <v>45940</v>
      </c>
      <c r="K14" s="47">
        <f t="shared" si="1"/>
        <v>5</v>
      </c>
      <c r="L14" s="48" t="s">
        <v>4</v>
      </c>
    </row>
    <row r="15" spans="1:21" hidden="1" x14ac:dyDescent="0.2">
      <c r="A15" s="44" t="s">
        <v>38</v>
      </c>
      <c r="B15" s="43" t="s">
        <v>39</v>
      </c>
      <c r="C15" s="44" t="s">
        <v>44</v>
      </c>
      <c r="D15" s="44" t="s">
        <v>46</v>
      </c>
      <c r="E15" s="44" t="s">
        <v>49</v>
      </c>
      <c r="F15" s="10" t="str" cm="1">
        <f t="array" ref="F15">_xlfn.IFS(H15="","", H15&lt;=2,"Low", H15&lt;=5,"Mid", H15&lt;=8,"High", TRUE,"Out of Range")</f>
        <v>Mid</v>
      </c>
      <c r="G15" s="44" t="s">
        <v>13</v>
      </c>
      <c r="H15" s="45">
        <v>5</v>
      </c>
      <c r="I15" s="46">
        <f>WORKDAY(J14,1)</f>
        <v>45943</v>
      </c>
      <c r="J15" s="46">
        <f t="shared" si="0"/>
        <v>45950</v>
      </c>
      <c r="K15" s="47">
        <f t="shared" si="1"/>
        <v>5</v>
      </c>
      <c r="L15" s="48" t="s">
        <v>4</v>
      </c>
    </row>
    <row r="16" spans="1:21" hidden="1" x14ac:dyDescent="0.2">
      <c r="A16" s="44" t="s">
        <v>38</v>
      </c>
      <c r="B16" s="43" t="s">
        <v>39</v>
      </c>
      <c r="C16" s="44" t="s">
        <v>44</v>
      </c>
      <c r="D16" s="44" t="s">
        <v>50</v>
      </c>
      <c r="E16" s="44" t="s">
        <v>51</v>
      </c>
      <c r="F16" s="10" t="str" cm="1">
        <f t="array" ref="F16">_xlfn.IFS(H16="","", H16&lt;=2,"Low", H16&lt;=5,"Mid", H16&lt;=8,"High", TRUE,"Out of Range")</f>
        <v>Mid</v>
      </c>
      <c r="G16" s="44" t="s">
        <v>43</v>
      </c>
      <c r="H16" s="45">
        <v>3</v>
      </c>
      <c r="I16" s="46">
        <f>WORKDAY(J15,1)</f>
        <v>45951</v>
      </c>
      <c r="J16" s="46">
        <f t="shared" si="0"/>
        <v>45954</v>
      </c>
      <c r="K16" s="47">
        <f t="shared" si="1"/>
        <v>3</v>
      </c>
      <c r="L16" s="48" t="s">
        <v>4</v>
      </c>
    </row>
    <row r="17" spans="1:12" hidden="1" x14ac:dyDescent="0.2">
      <c r="A17" s="44" t="s">
        <v>52</v>
      </c>
      <c r="B17" s="49" t="s">
        <v>53</v>
      </c>
      <c r="C17" s="44" t="s">
        <v>44</v>
      </c>
      <c r="D17" s="44" t="s">
        <v>41</v>
      </c>
      <c r="E17" s="44" t="s">
        <v>54</v>
      </c>
      <c r="F17" s="10" t="s">
        <v>19</v>
      </c>
      <c r="G17" s="44" t="s">
        <v>55</v>
      </c>
      <c r="H17" s="45">
        <v>3</v>
      </c>
      <c r="I17" s="46">
        <v>45985</v>
      </c>
      <c r="J17" s="46">
        <f t="shared" si="0"/>
        <v>45993</v>
      </c>
      <c r="K17" s="47">
        <f>H17/$O$9</f>
        <v>6</v>
      </c>
      <c r="L17" s="48" t="s">
        <v>11</v>
      </c>
    </row>
    <row r="18" spans="1:12" hidden="1" x14ac:dyDescent="0.2">
      <c r="A18" s="44" t="s">
        <v>52</v>
      </c>
      <c r="B18" s="49" t="s">
        <v>53</v>
      </c>
      <c r="C18" s="44" t="s">
        <v>44</v>
      </c>
      <c r="D18" s="44" t="s">
        <v>41</v>
      </c>
      <c r="E18" s="44" t="s">
        <v>56</v>
      </c>
      <c r="F18" s="10" t="s">
        <v>19</v>
      </c>
      <c r="G18" s="44" t="s">
        <v>55</v>
      </c>
      <c r="H18" s="45">
        <v>3</v>
      </c>
      <c r="I18" s="46">
        <f>WORKDAY(J17,1)</f>
        <v>45994</v>
      </c>
      <c r="J18" s="46">
        <f t="shared" si="0"/>
        <v>46002</v>
      </c>
      <c r="K18" s="47">
        <f>H18/$O$9</f>
        <v>6</v>
      </c>
      <c r="L18" s="48" t="s">
        <v>11</v>
      </c>
    </row>
    <row r="19" spans="1:12" hidden="1" x14ac:dyDescent="0.2">
      <c r="A19" s="44" t="s">
        <v>52</v>
      </c>
      <c r="B19" s="49" t="s">
        <v>53</v>
      </c>
      <c r="C19" s="44" t="s">
        <v>44</v>
      </c>
      <c r="D19" s="44" t="s">
        <v>46</v>
      </c>
      <c r="E19" s="44" t="s">
        <v>47</v>
      </c>
      <c r="F19" s="10" t="s">
        <v>19</v>
      </c>
      <c r="G19" s="44" t="s">
        <v>13</v>
      </c>
      <c r="H19" s="45">
        <v>3</v>
      </c>
      <c r="I19" s="46">
        <f>WORKDAY(J18,1)</f>
        <v>46003</v>
      </c>
      <c r="J19" s="46">
        <f t="shared" si="0"/>
        <v>46008</v>
      </c>
      <c r="K19" s="47">
        <f>H19/$O$5</f>
        <v>3</v>
      </c>
      <c r="L19" s="48" t="s">
        <v>11</v>
      </c>
    </row>
    <row r="20" spans="1:12" hidden="1" x14ac:dyDescent="0.2">
      <c r="A20" s="44" t="s">
        <v>52</v>
      </c>
      <c r="B20" s="49" t="s">
        <v>53</v>
      </c>
      <c r="C20" s="44" t="s">
        <v>44</v>
      </c>
      <c r="D20" s="44" t="s">
        <v>46</v>
      </c>
      <c r="E20" s="44" t="s">
        <v>48</v>
      </c>
      <c r="F20" s="10" t="s">
        <v>25</v>
      </c>
      <c r="G20" s="44" t="s">
        <v>13</v>
      </c>
      <c r="H20" s="45">
        <v>5</v>
      </c>
      <c r="I20" s="46">
        <f>WORKDAY(J19,1)</f>
        <v>46009</v>
      </c>
      <c r="J20" s="46">
        <f t="shared" si="0"/>
        <v>46016</v>
      </c>
      <c r="K20" s="47">
        <f>H20/$O$5</f>
        <v>5</v>
      </c>
      <c r="L20" s="48" t="s">
        <v>17</v>
      </c>
    </row>
    <row r="21" spans="1:12" hidden="1" x14ac:dyDescent="0.2">
      <c r="A21" s="44" t="s">
        <v>57</v>
      </c>
      <c r="B21" s="49" t="s">
        <v>53</v>
      </c>
      <c r="C21" s="44" t="s">
        <v>44</v>
      </c>
      <c r="D21" s="44" t="s">
        <v>46</v>
      </c>
      <c r="E21" s="44" t="s">
        <v>49</v>
      </c>
      <c r="F21" s="10" t="s">
        <v>15</v>
      </c>
      <c r="G21" s="44" t="s">
        <v>13</v>
      </c>
      <c r="H21" s="45">
        <v>2</v>
      </c>
      <c r="I21" s="46">
        <f>WORKDAY(J20,1)</f>
        <v>46017</v>
      </c>
      <c r="J21" s="46">
        <f t="shared" si="0"/>
        <v>46021</v>
      </c>
      <c r="K21" s="47">
        <f>H21/$O$5</f>
        <v>2</v>
      </c>
      <c r="L21" s="48" t="s">
        <v>17</v>
      </c>
    </row>
    <row r="22" spans="1:12" hidden="1" x14ac:dyDescent="0.2">
      <c r="A22" s="44" t="s">
        <v>57</v>
      </c>
      <c r="B22" s="49" t="s">
        <v>53</v>
      </c>
      <c r="C22" s="44" t="s">
        <v>44</v>
      </c>
      <c r="D22" s="44" t="s">
        <v>50</v>
      </c>
      <c r="E22" s="44" t="s">
        <v>51</v>
      </c>
      <c r="F22" s="10" t="s">
        <v>19</v>
      </c>
      <c r="G22" s="44" t="s">
        <v>43</v>
      </c>
      <c r="H22" s="45">
        <v>3</v>
      </c>
      <c r="I22" s="46">
        <f>WORKDAY(J21,1)</f>
        <v>46022</v>
      </c>
      <c r="J22" s="46">
        <f t="shared" si="0"/>
        <v>46027</v>
      </c>
      <c r="K22" s="47">
        <f>H22/$O$5</f>
        <v>3</v>
      </c>
      <c r="L22" s="48" t="s">
        <v>17</v>
      </c>
    </row>
    <row r="23" spans="1:12" hidden="1" x14ac:dyDescent="0.2">
      <c r="A23" s="44" t="s">
        <v>57</v>
      </c>
      <c r="B23" s="49" t="s">
        <v>53</v>
      </c>
      <c r="C23" s="44" t="s">
        <v>58</v>
      </c>
      <c r="D23" s="44" t="s">
        <v>41</v>
      </c>
      <c r="E23" s="44" t="s">
        <v>59</v>
      </c>
      <c r="F23" s="10" t="str" cm="1">
        <f t="array" ref="F23">_xlfn.IFS(H23="","", H23&lt;=2,"Low", H23&lt;=5,"Mid", H23&lt;=8,"High", TRUE,"Out of Range")</f>
        <v>Low</v>
      </c>
      <c r="G23" s="44" t="s">
        <v>55</v>
      </c>
      <c r="H23" s="45">
        <v>1.5</v>
      </c>
      <c r="I23" s="46">
        <f>WORKDAY(J18,1)</f>
        <v>46003</v>
      </c>
      <c r="J23" s="46">
        <f t="shared" si="0"/>
        <v>46008</v>
      </c>
      <c r="K23" s="47">
        <f>H23/$O$9</f>
        <v>3</v>
      </c>
      <c r="L23" s="48" t="s">
        <v>11</v>
      </c>
    </row>
    <row r="24" spans="1:12" hidden="1" x14ac:dyDescent="0.2">
      <c r="A24" s="44" t="s">
        <v>57</v>
      </c>
      <c r="B24" s="49" t="s">
        <v>53</v>
      </c>
      <c r="C24" s="44" t="s">
        <v>58</v>
      </c>
      <c r="D24" s="44" t="s">
        <v>41</v>
      </c>
      <c r="E24" s="44" t="s">
        <v>60</v>
      </c>
      <c r="F24" s="10" t="str" cm="1">
        <f t="array" ref="F24">_xlfn.IFS(H24="","", H24&lt;=2,"Low", H24&lt;=5,"Mid", H24&lt;=8,"High", TRUE,"Out of Range")</f>
        <v>Low</v>
      </c>
      <c r="G24" s="44" t="s">
        <v>55</v>
      </c>
      <c r="H24" s="45">
        <v>1.5</v>
      </c>
      <c r="I24" s="46">
        <f>WORKDAY(J23,1)</f>
        <v>46009</v>
      </c>
      <c r="J24" s="46">
        <f t="shared" si="0"/>
        <v>46014</v>
      </c>
      <c r="K24" s="47">
        <f>H24/$O$9</f>
        <v>3</v>
      </c>
      <c r="L24" s="48" t="s">
        <v>11</v>
      </c>
    </row>
    <row r="25" spans="1:12" hidden="1" x14ac:dyDescent="0.2">
      <c r="A25" s="44" t="s">
        <v>57</v>
      </c>
      <c r="B25" s="49" t="s">
        <v>53</v>
      </c>
      <c r="C25" s="44" t="s">
        <v>58</v>
      </c>
      <c r="D25" s="44" t="s">
        <v>46</v>
      </c>
      <c r="E25" s="44" t="s">
        <v>61</v>
      </c>
      <c r="F25" s="10" t="str" cm="1">
        <f t="array" ref="F25">_xlfn.IFS(H25="","", H25&lt;=2,"Low", H25&lt;=5,"Mid", H25&lt;=8,"High", TRUE,"Out of Range")</f>
        <v>Low</v>
      </c>
      <c r="G25" s="44" t="s">
        <v>62</v>
      </c>
      <c r="H25" s="45">
        <v>1</v>
      </c>
      <c r="I25" s="46">
        <f>WORKDAY(J24,1)</f>
        <v>46015</v>
      </c>
      <c r="J25" s="46">
        <f t="shared" si="0"/>
        <v>46016</v>
      </c>
      <c r="K25" s="47">
        <f>H25/$O$5</f>
        <v>1</v>
      </c>
      <c r="L25" s="48" t="s">
        <v>17</v>
      </c>
    </row>
    <row r="26" spans="1:12" hidden="1" x14ac:dyDescent="0.2">
      <c r="A26" s="44" t="s">
        <v>63</v>
      </c>
      <c r="B26" s="49" t="s">
        <v>64</v>
      </c>
      <c r="C26" s="44" t="s">
        <v>58</v>
      </c>
      <c r="D26" s="44" t="s">
        <v>46</v>
      </c>
      <c r="E26" s="44" t="s">
        <v>65</v>
      </c>
      <c r="F26" s="10" t="str" cm="1">
        <f t="array" ref="F26">_xlfn.IFS(H26="","", H26&lt;=2,"Low", H26&lt;=5,"Mid", H26&lt;=8,"High", TRUE,"Out of Range")</f>
        <v>High</v>
      </c>
      <c r="G26" s="44" t="s">
        <v>13</v>
      </c>
      <c r="H26" s="45">
        <v>7</v>
      </c>
      <c r="I26" s="46">
        <f>WORKDAY(J21,1)</f>
        <v>46022</v>
      </c>
      <c r="J26" s="46">
        <f t="shared" si="0"/>
        <v>46031</v>
      </c>
      <c r="K26" s="47">
        <f>H26/$O$5</f>
        <v>7</v>
      </c>
      <c r="L26" s="48" t="s">
        <v>17</v>
      </c>
    </row>
    <row r="27" spans="1:12" hidden="1" x14ac:dyDescent="0.2">
      <c r="A27" s="44" t="s">
        <v>63</v>
      </c>
      <c r="B27" s="49" t="s">
        <v>53</v>
      </c>
      <c r="C27" s="44" t="s">
        <v>58</v>
      </c>
      <c r="D27" s="44" t="s">
        <v>50</v>
      </c>
      <c r="E27" s="44" t="s">
        <v>66</v>
      </c>
      <c r="F27" s="10" t="str" cm="1">
        <f t="array" ref="F27">_xlfn.IFS(H27="","", H27&lt;=2,"Low", H27&lt;=5,"Mid", H27&lt;=8,"High", TRUE,"Out of Range")</f>
        <v>Mid</v>
      </c>
      <c r="G27" s="44" t="s">
        <v>43</v>
      </c>
      <c r="H27" s="45">
        <v>3</v>
      </c>
      <c r="I27" s="46">
        <f>WORKDAY(J26,1)</f>
        <v>46034</v>
      </c>
      <c r="J27" s="46">
        <f t="shared" si="0"/>
        <v>46037</v>
      </c>
      <c r="K27" s="47">
        <f>H27/$O$5</f>
        <v>3</v>
      </c>
      <c r="L27" s="48" t="s">
        <v>17</v>
      </c>
    </row>
    <row r="28" spans="1:12" hidden="1" x14ac:dyDescent="0.2">
      <c r="A28" s="44" t="s">
        <v>63</v>
      </c>
      <c r="B28" s="49" t="s">
        <v>53</v>
      </c>
      <c r="C28" s="44" t="s">
        <v>67</v>
      </c>
      <c r="D28" s="44" t="s">
        <v>41</v>
      </c>
      <c r="E28" s="44" t="s">
        <v>68</v>
      </c>
      <c r="F28" s="10" t="str" cm="1">
        <f t="array" ref="F28">_xlfn.IFS(H28="","", H28&lt;=2,"Low", H28&lt;=5,"Mid", H28&lt;=8,"High", TRUE,"Out of Range")</f>
        <v>Low</v>
      </c>
      <c r="G28" s="44" t="s">
        <v>55</v>
      </c>
      <c r="H28" s="45">
        <v>1.5</v>
      </c>
      <c r="I28" s="46">
        <f>WORKDAY(J24,1)</f>
        <v>46015</v>
      </c>
      <c r="J28" s="46">
        <f t="shared" si="0"/>
        <v>46020</v>
      </c>
      <c r="K28" s="47">
        <f>H28/$O$9</f>
        <v>3</v>
      </c>
      <c r="L28" s="48" t="s">
        <v>11</v>
      </c>
    </row>
    <row r="29" spans="1:12" hidden="1" x14ac:dyDescent="0.2">
      <c r="A29" s="44" t="s">
        <v>63</v>
      </c>
      <c r="B29" s="49" t="s">
        <v>53</v>
      </c>
      <c r="C29" s="44" t="s">
        <v>67</v>
      </c>
      <c r="D29" s="44" t="s">
        <v>41</v>
      </c>
      <c r="E29" s="44" t="s">
        <v>69</v>
      </c>
      <c r="F29" s="10" t="s">
        <v>19</v>
      </c>
      <c r="G29" s="44" t="s">
        <v>55</v>
      </c>
      <c r="H29" s="45">
        <v>1.5</v>
      </c>
      <c r="I29" s="46">
        <f>WORKDAY(J25,1)</f>
        <v>46017</v>
      </c>
      <c r="J29" s="46">
        <f t="shared" si="0"/>
        <v>46022</v>
      </c>
      <c r="K29" s="47">
        <f>H29/$O$9</f>
        <v>3</v>
      </c>
      <c r="L29" s="48" t="s">
        <v>11</v>
      </c>
    </row>
    <row r="30" spans="1:12" hidden="1" x14ac:dyDescent="0.2">
      <c r="A30" s="44" t="s">
        <v>70</v>
      </c>
      <c r="B30" s="49" t="s">
        <v>53</v>
      </c>
      <c r="C30" s="44" t="s">
        <v>67</v>
      </c>
      <c r="D30" s="44" t="s">
        <v>46</v>
      </c>
      <c r="E30" s="44" t="s">
        <v>71</v>
      </c>
      <c r="F30" s="10" t="s">
        <v>19</v>
      </c>
      <c r="G30" s="44" t="s">
        <v>62</v>
      </c>
      <c r="H30" s="45">
        <v>4</v>
      </c>
      <c r="I30" s="46">
        <f>WORKDAY(J29,1)</f>
        <v>46023</v>
      </c>
      <c r="J30" s="46">
        <f t="shared" si="0"/>
        <v>46029</v>
      </c>
      <c r="K30" s="47">
        <f>H30/$O$5</f>
        <v>4</v>
      </c>
      <c r="L30" s="48" t="s">
        <v>17</v>
      </c>
    </row>
    <row r="31" spans="1:12" hidden="1" x14ac:dyDescent="0.2">
      <c r="A31" s="44" t="s">
        <v>70</v>
      </c>
      <c r="B31" s="49" t="s">
        <v>53</v>
      </c>
      <c r="C31" s="44" t="s">
        <v>67</v>
      </c>
      <c r="D31" s="44" t="s">
        <v>46</v>
      </c>
      <c r="E31" s="44" t="s">
        <v>72</v>
      </c>
      <c r="F31" s="10" t="s">
        <v>19</v>
      </c>
      <c r="G31" s="44" t="s">
        <v>13</v>
      </c>
      <c r="H31" s="45">
        <v>4</v>
      </c>
      <c r="I31" s="46">
        <f>WORKDAY(J26,1)</f>
        <v>46034</v>
      </c>
      <c r="J31" s="46">
        <f t="shared" si="0"/>
        <v>46038</v>
      </c>
      <c r="K31" s="47">
        <f>H31/$O$5</f>
        <v>4</v>
      </c>
      <c r="L31" s="48" t="s">
        <v>17</v>
      </c>
    </row>
    <row r="32" spans="1:12" hidden="1" x14ac:dyDescent="0.2">
      <c r="A32" s="44" t="s">
        <v>73</v>
      </c>
      <c r="B32" s="49" t="s">
        <v>53</v>
      </c>
      <c r="C32" s="44" t="s">
        <v>67</v>
      </c>
      <c r="D32" s="44" t="s">
        <v>50</v>
      </c>
      <c r="E32" s="44" t="s">
        <v>74</v>
      </c>
      <c r="F32" s="10" t="s">
        <v>25</v>
      </c>
      <c r="G32" s="44" t="s">
        <v>43</v>
      </c>
      <c r="H32" s="45">
        <v>2</v>
      </c>
      <c r="I32" s="46">
        <f>WORKDAY(J31,1)</f>
        <v>46041</v>
      </c>
      <c r="J32" s="46">
        <f t="shared" si="0"/>
        <v>46043</v>
      </c>
      <c r="K32" s="47">
        <f>H32/$O$5</f>
        <v>2</v>
      </c>
      <c r="L32" s="48" t="s">
        <v>17</v>
      </c>
    </row>
    <row r="33" spans="1:12" hidden="1" x14ac:dyDescent="0.2">
      <c r="A33" s="44" t="s">
        <v>63</v>
      </c>
      <c r="B33" s="49" t="s">
        <v>53</v>
      </c>
      <c r="C33" s="44" t="s">
        <v>75</v>
      </c>
      <c r="D33" s="44" t="s">
        <v>41</v>
      </c>
      <c r="E33" s="44" t="s">
        <v>76</v>
      </c>
      <c r="F33" s="10" t="s">
        <v>15</v>
      </c>
      <c r="G33" s="44" t="s">
        <v>55</v>
      </c>
      <c r="H33" s="45">
        <v>1.5</v>
      </c>
      <c r="I33" s="46">
        <f>WORKDAY(J29,1)</f>
        <v>46023</v>
      </c>
      <c r="J33" s="46">
        <f t="shared" si="0"/>
        <v>46028</v>
      </c>
      <c r="K33" s="47">
        <f>H33/$O$9</f>
        <v>3</v>
      </c>
      <c r="L33" s="48" t="s">
        <v>11</v>
      </c>
    </row>
    <row r="34" spans="1:12" hidden="1" x14ac:dyDescent="0.2">
      <c r="A34" s="44" t="s">
        <v>63</v>
      </c>
      <c r="B34" s="49" t="s">
        <v>53</v>
      </c>
      <c r="C34" s="44" t="s">
        <v>75</v>
      </c>
      <c r="D34" s="44" t="s">
        <v>41</v>
      </c>
      <c r="E34" s="44" t="s">
        <v>77</v>
      </c>
      <c r="F34" s="10" t="s">
        <v>19</v>
      </c>
      <c r="G34" s="44" t="s">
        <v>55</v>
      </c>
      <c r="H34" s="45">
        <v>1.5</v>
      </c>
      <c r="I34" s="46">
        <f>WORKDAY(J33,1)</f>
        <v>46029</v>
      </c>
      <c r="J34" s="46">
        <f t="shared" si="0"/>
        <v>46034</v>
      </c>
      <c r="K34" s="47">
        <f>H34/$O$9</f>
        <v>3</v>
      </c>
      <c r="L34" s="48" t="s">
        <v>11</v>
      </c>
    </row>
    <row r="35" spans="1:12" hidden="1" x14ac:dyDescent="0.2">
      <c r="A35" s="44" t="s">
        <v>73</v>
      </c>
      <c r="B35" s="49" t="s">
        <v>53</v>
      </c>
      <c r="C35" s="44" t="s">
        <v>75</v>
      </c>
      <c r="D35" s="44" t="s">
        <v>46</v>
      </c>
      <c r="E35" s="44" t="s">
        <v>78</v>
      </c>
      <c r="F35" s="10" t="str" cm="1">
        <f t="array" ref="F35">_xlfn.IFS(H35="","", H35&lt;=2,"Low", H35&lt;=5,"Mid", H35&lt;=8,"High", TRUE,"Out of Range")</f>
        <v>Mid</v>
      </c>
      <c r="G35" s="44" t="s">
        <v>62</v>
      </c>
      <c r="H35" s="45">
        <v>4</v>
      </c>
      <c r="I35" s="46">
        <f>WORKDAY(J30,1)</f>
        <v>46030</v>
      </c>
      <c r="J35" s="46">
        <f t="shared" si="0"/>
        <v>46036</v>
      </c>
      <c r="K35" s="47">
        <f>H35/$O$5</f>
        <v>4</v>
      </c>
      <c r="L35" s="48" t="s">
        <v>17</v>
      </c>
    </row>
    <row r="36" spans="1:12" hidden="1" x14ac:dyDescent="0.2">
      <c r="A36" s="44" t="s">
        <v>73</v>
      </c>
      <c r="B36" s="49" t="s">
        <v>53</v>
      </c>
      <c r="C36" s="44" t="s">
        <v>75</v>
      </c>
      <c r="D36" s="44" t="s">
        <v>46</v>
      </c>
      <c r="E36" s="44" t="s">
        <v>79</v>
      </c>
      <c r="F36" s="10" t="str" cm="1">
        <f t="array" ref="F36">_xlfn.IFS(H36="","", H36&lt;=2,"Low", H36&lt;=5,"Mid", H36&lt;=8,"High", TRUE,"Out of Range")</f>
        <v>Mid</v>
      </c>
      <c r="G36" s="44" t="s">
        <v>13</v>
      </c>
      <c r="H36" s="45">
        <v>4</v>
      </c>
      <c r="I36" s="46">
        <f>WORKDAY(J31,1)</f>
        <v>46041</v>
      </c>
      <c r="J36" s="46">
        <f t="shared" si="0"/>
        <v>46045</v>
      </c>
      <c r="K36" s="47">
        <f>H36/$O$5</f>
        <v>4</v>
      </c>
      <c r="L36" s="48" t="s">
        <v>17</v>
      </c>
    </row>
    <row r="37" spans="1:12" hidden="1" x14ac:dyDescent="0.2">
      <c r="A37" s="50" t="s">
        <v>80</v>
      </c>
      <c r="B37" s="51" t="s">
        <v>53</v>
      </c>
      <c r="C37" s="50" t="s">
        <v>75</v>
      </c>
      <c r="D37" s="44" t="s">
        <v>50</v>
      </c>
      <c r="E37" s="50" t="s">
        <v>81</v>
      </c>
      <c r="F37" s="10" t="str" cm="1">
        <f t="array" ref="F37">_xlfn.IFS(H37="","", H37&lt;=2,"Low", H37&lt;=5,"Mid", H37&lt;=8,"High", TRUE,"Out of Range")</f>
        <v>Low</v>
      </c>
      <c r="G37" s="44" t="s">
        <v>43</v>
      </c>
      <c r="H37" s="52">
        <v>1</v>
      </c>
      <c r="I37" s="53">
        <f>WORKDAY(J36,1)</f>
        <v>46048</v>
      </c>
      <c r="J37" s="53">
        <v>46048</v>
      </c>
      <c r="K37" s="47">
        <v>1</v>
      </c>
      <c r="L37" s="54" t="s">
        <v>17</v>
      </c>
    </row>
    <row r="38" spans="1:12" x14ac:dyDescent="0.2">
      <c r="A38" s="44" t="s">
        <v>52</v>
      </c>
      <c r="B38" s="49" t="s">
        <v>82</v>
      </c>
      <c r="C38" s="44" t="s">
        <v>44</v>
      </c>
      <c r="D38" s="44" t="s">
        <v>41</v>
      </c>
      <c r="E38" s="44" t="s">
        <v>42</v>
      </c>
      <c r="F38" s="10" t="str" cm="1">
        <f t="array" ref="F38">_xlfn.IFS(H38="","", H38&lt;=2,"Low", H38&lt;=5,"Mid", H38&lt;=8,"High", TRUE,"Out of Range")</f>
        <v>Mid</v>
      </c>
      <c r="G38" s="44" t="s">
        <v>43</v>
      </c>
      <c r="H38" s="45">
        <v>3</v>
      </c>
      <c r="I38" s="46">
        <v>46035</v>
      </c>
      <c r="J38" s="46">
        <v>46037</v>
      </c>
      <c r="K38" s="47">
        <f>H38/$O$6</f>
        <v>3</v>
      </c>
      <c r="L38" s="48" t="s">
        <v>17</v>
      </c>
    </row>
    <row r="39" spans="1:12" x14ac:dyDescent="0.2">
      <c r="A39" s="44" t="s">
        <v>57</v>
      </c>
      <c r="B39" s="49" t="s">
        <v>83</v>
      </c>
      <c r="C39" s="44" t="s">
        <v>44</v>
      </c>
      <c r="D39" s="44" t="s">
        <v>41</v>
      </c>
      <c r="E39" s="44" t="s">
        <v>84</v>
      </c>
      <c r="F39" s="10" t="str" cm="1">
        <f t="array" ref="F39">_xlfn.IFS(H39="","", H39&lt;=2,"Low", H39&lt;=5,"Mid", H39&lt;=8,"High", TRUE,"Out of Range")</f>
        <v>Mid</v>
      </c>
      <c r="G39" s="44" t="s">
        <v>43</v>
      </c>
      <c r="H39" s="45">
        <v>3</v>
      </c>
      <c r="I39" s="46">
        <v>46038</v>
      </c>
      <c r="J39" s="46">
        <v>46042</v>
      </c>
      <c r="K39" s="47">
        <f>H39/$O$6</f>
        <v>3</v>
      </c>
      <c r="L39" s="48" t="s">
        <v>17</v>
      </c>
    </row>
    <row r="40" spans="1:12" x14ac:dyDescent="0.2">
      <c r="A40" s="44" t="s">
        <v>57</v>
      </c>
      <c r="B40" s="49" t="s">
        <v>83</v>
      </c>
      <c r="C40" s="44" t="s">
        <v>44</v>
      </c>
      <c r="D40" s="44" t="s">
        <v>46</v>
      </c>
      <c r="E40" s="44" t="s">
        <v>47</v>
      </c>
      <c r="F40" s="10" t="str" cm="1">
        <f t="array" ref="F40">_xlfn.IFS(H40="","", H40&lt;=2,"Low", H40&lt;=5,"Mid", H40&lt;=8,"High", TRUE,"Out of Range")</f>
        <v>Mid</v>
      </c>
      <c r="G40" s="44" t="s">
        <v>85</v>
      </c>
      <c r="H40" s="45">
        <v>4</v>
      </c>
      <c r="I40" s="46">
        <v>46043</v>
      </c>
      <c r="J40" s="46">
        <v>46048</v>
      </c>
      <c r="K40" s="47">
        <f>H40/$O$7</f>
        <v>4</v>
      </c>
      <c r="L40" s="48" t="s">
        <v>17</v>
      </c>
    </row>
    <row r="41" spans="1:12" x14ac:dyDescent="0.2">
      <c r="A41" s="44" t="s">
        <v>63</v>
      </c>
      <c r="B41" s="49" t="s">
        <v>83</v>
      </c>
      <c r="C41" s="44" t="s">
        <v>44</v>
      </c>
      <c r="D41" s="44" t="s">
        <v>46</v>
      </c>
      <c r="E41" s="44" t="s">
        <v>48</v>
      </c>
      <c r="F41" s="10" t="s">
        <v>19</v>
      </c>
      <c r="G41" s="44" t="s">
        <v>85</v>
      </c>
      <c r="H41" s="45">
        <v>4</v>
      </c>
      <c r="I41" s="46">
        <v>46049</v>
      </c>
      <c r="J41" s="46">
        <v>46052</v>
      </c>
      <c r="K41" s="47">
        <f>H41/$O$7</f>
        <v>4</v>
      </c>
      <c r="L41" s="48" t="s">
        <v>17</v>
      </c>
    </row>
    <row r="42" spans="1:12" x14ac:dyDescent="0.2">
      <c r="A42" s="44" t="s">
        <v>70</v>
      </c>
      <c r="B42" s="49" t="s">
        <v>83</v>
      </c>
      <c r="C42" s="44" t="s">
        <v>44</v>
      </c>
      <c r="D42" s="44" t="s">
        <v>46</v>
      </c>
      <c r="E42" s="44" t="s">
        <v>49</v>
      </c>
      <c r="F42" s="10" t="s">
        <v>19</v>
      </c>
      <c r="G42" s="44" t="s">
        <v>85</v>
      </c>
      <c r="H42" s="45">
        <v>2</v>
      </c>
      <c r="I42" s="46">
        <v>46055</v>
      </c>
      <c r="J42" s="46">
        <v>46056</v>
      </c>
      <c r="K42" s="47">
        <f>H42/$O$7</f>
        <v>2</v>
      </c>
      <c r="L42" s="48" t="s">
        <v>17</v>
      </c>
    </row>
    <row r="43" spans="1:12" x14ac:dyDescent="0.2">
      <c r="A43" s="44" t="s">
        <v>73</v>
      </c>
      <c r="B43" s="49" t="s">
        <v>83</v>
      </c>
      <c r="C43" s="44" t="s">
        <v>44</v>
      </c>
      <c r="D43" s="44" t="s">
        <v>50</v>
      </c>
      <c r="E43" s="44" t="s">
        <v>51</v>
      </c>
      <c r="F43" s="10" t="s">
        <v>19</v>
      </c>
      <c r="G43" s="44" t="s">
        <v>43</v>
      </c>
      <c r="H43" s="45">
        <v>3</v>
      </c>
      <c r="I43" s="46">
        <v>46057</v>
      </c>
      <c r="J43" s="46">
        <v>46059</v>
      </c>
      <c r="K43" s="47">
        <f>H43/$O$5</f>
        <v>3</v>
      </c>
      <c r="L43" s="48" t="s">
        <v>17</v>
      </c>
    </row>
    <row r="44" spans="1:12" x14ac:dyDescent="0.2">
      <c r="A44" s="44" t="s">
        <v>70</v>
      </c>
      <c r="B44" s="49" t="s">
        <v>83</v>
      </c>
      <c r="C44" s="55" t="s">
        <v>86</v>
      </c>
      <c r="D44" s="44" t="s">
        <v>41</v>
      </c>
      <c r="E44" s="44" t="s">
        <v>87</v>
      </c>
      <c r="F44" s="10" t="s">
        <v>25</v>
      </c>
      <c r="G44" s="44" t="s">
        <v>43</v>
      </c>
      <c r="H44" s="45">
        <v>2</v>
      </c>
      <c r="I44" s="46">
        <v>46043</v>
      </c>
      <c r="J44" s="46">
        <v>46044</v>
      </c>
      <c r="K44" s="47">
        <f>H44/$O$7</f>
        <v>2</v>
      </c>
      <c r="L44" s="48" t="s">
        <v>17</v>
      </c>
    </row>
    <row r="45" spans="1:12" x14ac:dyDescent="0.2">
      <c r="A45" s="44" t="s">
        <v>70</v>
      </c>
      <c r="B45" s="49" t="s">
        <v>83</v>
      </c>
      <c r="C45" s="55" t="s">
        <v>86</v>
      </c>
      <c r="D45" s="44" t="s">
        <v>41</v>
      </c>
      <c r="E45" s="44" t="s">
        <v>88</v>
      </c>
      <c r="F45" s="10" t="s">
        <v>15</v>
      </c>
      <c r="G45" s="44" t="s">
        <v>43</v>
      </c>
      <c r="H45" s="45">
        <v>2</v>
      </c>
      <c r="I45" s="46">
        <v>46045</v>
      </c>
      <c r="J45" s="46">
        <v>46045</v>
      </c>
      <c r="K45" s="47">
        <v>1</v>
      </c>
      <c r="L45" s="48" t="s">
        <v>17</v>
      </c>
    </row>
    <row r="46" spans="1:12" x14ac:dyDescent="0.2">
      <c r="A46" s="44" t="s">
        <v>70</v>
      </c>
      <c r="B46" s="49" t="s">
        <v>83</v>
      </c>
      <c r="C46" s="55" t="s">
        <v>86</v>
      </c>
      <c r="D46" s="44" t="s">
        <v>46</v>
      </c>
      <c r="E46" s="44" t="s">
        <v>89</v>
      </c>
      <c r="F46" s="10" t="s">
        <v>19</v>
      </c>
      <c r="G46" s="44" t="s">
        <v>62</v>
      </c>
      <c r="H46" s="45">
        <v>2</v>
      </c>
      <c r="I46" s="46">
        <v>46049</v>
      </c>
      <c r="J46" s="46">
        <v>46050</v>
      </c>
      <c r="K46" s="47">
        <f>H46/$O$8</f>
        <v>2</v>
      </c>
      <c r="L46" s="48" t="s">
        <v>17</v>
      </c>
    </row>
    <row r="47" spans="1:12" x14ac:dyDescent="0.2">
      <c r="A47" s="44" t="s">
        <v>73</v>
      </c>
      <c r="B47" s="49" t="s">
        <v>83</v>
      </c>
      <c r="C47" s="55" t="s">
        <v>86</v>
      </c>
      <c r="D47" s="44" t="s">
        <v>46</v>
      </c>
      <c r="E47" s="44" t="s">
        <v>90</v>
      </c>
      <c r="F47" s="10" t="str" cm="1">
        <f t="array" ref="F47">_xlfn.IFS(H47="","", H47&lt;=2,"Low", H47&lt;=5,"Mid", H47&lt;=8,"High", TRUE,"Out of Range")</f>
        <v>High</v>
      </c>
      <c r="G47" s="44" t="s">
        <v>85</v>
      </c>
      <c r="H47" s="45">
        <v>8</v>
      </c>
      <c r="I47" s="46">
        <v>46057</v>
      </c>
      <c r="J47" s="46">
        <v>46066</v>
      </c>
      <c r="K47" s="47">
        <f>H47/$O$7</f>
        <v>8</v>
      </c>
      <c r="L47" s="48" t="s">
        <v>17</v>
      </c>
    </row>
    <row r="48" spans="1:12" x14ac:dyDescent="0.2">
      <c r="A48" s="44" t="s">
        <v>73</v>
      </c>
      <c r="B48" s="49" t="s">
        <v>83</v>
      </c>
      <c r="C48" s="55" t="s">
        <v>86</v>
      </c>
      <c r="D48" s="44" t="s">
        <v>50</v>
      </c>
      <c r="E48" s="44" t="s">
        <v>91</v>
      </c>
      <c r="F48" s="10" t="str" cm="1">
        <f t="array" ref="F48">_xlfn.IFS(H48="","", H48&lt;=2,"Low", H48&lt;=5,"Mid", H48&lt;=8,"High", TRUE,"Out of Range")</f>
        <v>Low</v>
      </c>
      <c r="G48" s="44" t="s">
        <v>43</v>
      </c>
      <c r="H48" s="45">
        <v>2</v>
      </c>
      <c r="I48" s="46">
        <v>46076</v>
      </c>
      <c r="J48" s="46">
        <v>46077</v>
      </c>
      <c r="K48" s="47">
        <f>H48/$O$5</f>
        <v>2</v>
      </c>
      <c r="L48" s="48" t="s">
        <v>17</v>
      </c>
    </row>
    <row r="49" spans="1:12" x14ac:dyDescent="0.2">
      <c r="A49" s="44" t="s">
        <v>80</v>
      </c>
      <c r="B49" s="49" t="s">
        <v>83</v>
      </c>
      <c r="C49" s="55" t="s">
        <v>92</v>
      </c>
      <c r="D49" s="44" t="s">
        <v>41</v>
      </c>
      <c r="E49" s="44" t="s">
        <v>93</v>
      </c>
      <c r="F49" s="10" t="str" cm="1">
        <f t="array" ref="F49">_xlfn.IFS(H49="","", H49&lt;=2,"Low", H49&lt;=5,"Mid", H49&lt;=8,"High", TRUE,"Out of Range")</f>
        <v>Low</v>
      </c>
      <c r="G49" s="44" t="s">
        <v>43</v>
      </c>
      <c r="H49" s="45">
        <v>2</v>
      </c>
      <c r="I49" s="46">
        <v>46049</v>
      </c>
      <c r="J49" s="46">
        <v>46050</v>
      </c>
      <c r="K49" s="47">
        <f>H49/$O$7</f>
        <v>2</v>
      </c>
      <c r="L49" s="48" t="s">
        <v>17</v>
      </c>
    </row>
    <row r="50" spans="1:12" x14ac:dyDescent="0.2">
      <c r="A50" s="44" t="s">
        <v>80</v>
      </c>
      <c r="B50" s="49" t="s">
        <v>83</v>
      </c>
      <c r="C50" s="55" t="s">
        <v>92</v>
      </c>
      <c r="D50" s="44" t="s">
        <v>41</v>
      </c>
      <c r="E50" s="44" t="s">
        <v>94</v>
      </c>
      <c r="F50" s="10" t="str" cm="1">
        <f t="array" ref="F50">_xlfn.IFS(H50="","", H50&lt;=2,"Low", H50&lt;=5,"Mid", H50&lt;=8,"High", TRUE,"Out of Range")</f>
        <v>Low</v>
      </c>
      <c r="G50" s="44" t="s">
        <v>43</v>
      </c>
      <c r="H50" s="45">
        <v>2</v>
      </c>
      <c r="I50" s="46">
        <v>46051</v>
      </c>
      <c r="J50" s="46">
        <v>46052</v>
      </c>
      <c r="K50" s="47">
        <f>H50/$O$7</f>
        <v>2</v>
      </c>
      <c r="L50" s="48" t="s">
        <v>17</v>
      </c>
    </row>
    <row r="51" spans="1:12" x14ac:dyDescent="0.2">
      <c r="A51" s="44" t="s">
        <v>80</v>
      </c>
      <c r="B51" s="49" t="s">
        <v>83</v>
      </c>
      <c r="C51" s="55" t="s">
        <v>92</v>
      </c>
      <c r="D51" s="44" t="s">
        <v>46</v>
      </c>
      <c r="E51" s="44" t="s">
        <v>95</v>
      </c>
      <c r="F51" s="10" t="str" cm="1">
        <f t="array" ref="F51">_xlfn.IFS(H51="","", H51&lt;=2,"Low", H51&lt;=5,"Mid", H51&lt;=8,"High", TRUE,"Out of Range")</f>
        <v>Low</v>
      </c>
      <c r="G51" s="44" t="s">
        <v>62</v>
      </c>
      <c r="H51" s="45">
        <v>2</v>
      </c>
      <c r="I51" s="46">
        <v>46055</v>
      </c>
      <c r="J51" s="46">
        <v>46056</v>
      </c>
      <c r="K51" s="47">
        <f>H51/$O$8</f>
        <v>2</v>
      </c>
      <c r="L51" s="48" t="s">
        <v>17</v>
      </c>
    </row>
    <row r="52" spans="1:12" x14ac:dyDescent="0.2">
      <c r="A52" s="44" t="s">
        <v>96</v>
      </c>
      <c r="B52" s="49" t="s">
        <v>83</v>
      </c>
      <c r="C52" s="55" t="s">
        <v>92</v>
      </c>
      <c r="D52" s="44" t="s">
        <v>46</v>
      </c>
      <c r="E52" s="44" t="s">
        <v>97</v>
      </c>
      <c r="F52" s="10" t="str" cm="1">
        <f t="array" ref="F52">_xlfn.IFS(H52="","", H52&lt;=2,"Low", H52&lt;=5,"Mid", H52&lt;=8,"High", TRUE,"Out of Range")</f>
        <v>High</v>
      </c>
      <c r="G52" s="44" t="s">
        <v>98</v>
      </c>
      <c r="H52" s="45">
        <v>8</v>
      </c>
      <c r="I52" s="46">
        <v>46055</v>
      </c>
      <c r="J52" s="46">
        <v>46064</v>
      </c>
      <c r="K52" s="47">
        <f>H52/$O$7</f>
        <v>8</v>
      </c>
      <c r="L52" s="48" t="s">
        <v>17</v>
      </c>
    </row>
    <row r="53" spans="1:12" x14ac:dyDescent="0.2">
      <c r="A53" s="44" t="s">
        <v>99</v>
      </c>
      <c r="B53" s="49" t="s">
        <v>83</v>
      </c>
      <c r="C53" s="55" t="s">
        <v>92</v>
      </c>
      <c r="D53" s="44" t="s">
        <v>50</v>
      </c>
      <c r="E53" s="44" t="s">
        <v>100</v>
      </c>
      <c r="F53" s="10" t="s">
        <v>19</v>
      </c>
      <c r="G53" s="44" t="s">
        <v>43</v>
      </c>
      <c r="H53" s="45">
        <v>2</v>
      </c>
      <c r="I53" s="46">
        <v>46078</v>
      </c>
      <c r="J53" s="46">
        <v>46079</v>
      </c>
      <c r="K53" s="47">
        <f>H53/$O$5</f>
        <v>2</v>
      </c>
      <c r="L53" s="48" t="s">
        <v>17</v>
      </c>
    </row>
    <row r="54" spans="1:12" x14ac:dyDescent="0.2">
      <c r="A54" s="44" t="s">
        <v>80</v>
      </c>
      <c r="B54" s="49" t="s">
        <v>83</v>
      </c>
      <c r="C54" s="55" t="s">
        <v>101</v>
      </c>
      <c r="D54" s="44" t="s">
        <v>41</v>
      </c>
      <c r="E54" s="44" t="s">
        <v>102</v>
      </c>
      <c r="F54" s="10" t="s">
        <v>19</v>
      </c>
      <c r="G54" s="44" t="s">
        <v>43</v>
      </c>
      <c r="H54" s="45">
        <v>2</v>
      </c>
      <c r="I54" s="46">
        <v>46055</v>
      </c>
      <c r="J54" s="46">
        <v>46056</v>
      </c>
      <c r="K54" s="47">
        <f>H54/$O$5</f>
        <v>2</v>
      </c>
      <c r="L54" s="48" t="s">
        <v>17</v>
      </c>
    </row>
    <row r="55" spans="1:12" x14ac:dyDescent="0.2">
      <c r="A55" s="44" t="s">
        <v>96</v>
      </c>
      <c r="B55" s="49" t="s">
        <v>83</v>
      </c>
      <c r="C55" s="55" t="s">
        <v>101</v>
      </c>
      <c r="D55" s="44" t="s">
        <v>41</v>
      </c>
      <c r="E55" s="44" t="s">
        <v>103</v>
      </c>
      <c r="F55" s="10" t="s">
        <v>19</v>
      </c>
      <c r="G55" s="44" t="s">
        <v>43</v>
      </c>
      <c r="H55" s="45">
        <v>2</v>
      </c>
      <c r="I55" s="46">
        <v>46062</v>
      </c>
      <c r="J55" s="46">
        <v>46063</v>
      </c>
      <c r="K55" s="47">
        <f>H55/$O$5</f>
        <v>2</v>
      </c>
      <c r="L55" s="48" t="s">
        <v>17</v>
      </c>
    </row>
    <row r="56" spans="1:12" x14ac:dyDescent="0.2">
      <c r="A56" s="44" t="s">
        <v>96</v>
      </c>
      <c r="B56" s="49" t="s">
        <v>83</v>
      </c>
      <c r="C56" s="55" t="s">
        <v>101</v>
      </c>
      <c r="D56" s="44" t="s">
        <v>46</v>
      </c>
      <c r="E56" s="44" t="s">
        <v>104</v>
      </c>
      <c r="F56" s="10" t="s">
        <v>25</v>
      </c>
      <c r="G56" s="44" t="s">
        <v>62</v>
      </c>
      <c r="H56" s="45">
        <v>2</v>
      </c>
      <c r="I56" s="46">
        <v>46064</v>
      </c>
      <c r="J56" s="46">
        <v>46065</v>
      </c>
      <c r="K56" s="47">
        <f>H56/$O$8</f>
        <v>2</v>
      </c>
      <c r="L56" s="48" t="s">
        <v>17</v>
      </c>
    </row>
    <row r="57" spans="1:12" x14ac:dyDescent="0.2">
      <c r="A57" s="44" t="s">
        <v>99</v>
      </c>
      <c r="B57" s="49" t="s">
        <v>83</v>
      </c>
      <c r="C57" s="55" t="s">
        <v>101</v>
      </c>
      <c r="D57" s="44" t="s">
        <v>46</v>
      </c>
      <c r="E57" s="44" t="s">
        <v>105</v>
      </c>
      <c r="F57" s="10" t="s">
        <v>15</v>
      </c>
      <c r="G57" s="44" t="s">
        <v>85</v>
      </c>
      <c r="H57" s="45">
        <v>8</v>
      </c>
      <c r="I57" s="46">
        <v>46076</v>
      </c>
      <c r="J57" s="46">
        <v>46085</v>
      </c>
      <c r="K57" s="47">
        <f>H57/$O$5</f>
        <v>8</v>
      </c>
      <c r="L57" s="48" t="s">
        <v>17</v>
      </c>
    </row>
    <row r="58" spans="1:12" x14ac:dyDescent="0.2">
      <c r="A58" s="44" t="s">
        <v>106</v>
      </c>
      <c r="B58" s="49" t="s">
        <v>83</v>
      </c>
      <c r="C58" s="55" t="s">
        <v>101</v>
      </c>
      <c r="D58" s="44" t="s">
        <v>50</v>
      </c>
      <c r="E58" s="44" t="s">
        <v>107</v>
      </c>
      <c r="F58" s="10" t="s">
        <v>19</v>
      </c>
      <c r="G58" s="44" t="s">
        <v>43</v>
      </c>
      <c r="H58" s="45">
        <v>2</v>
      </c>
      <c r="I58" s="46">
        <v>46086</v>
      </c>
      <c r="J58" s="46">
        <v>46087</v>
      </c>
      <c r="K58" s="47">
        <f>H58/$O$5</f>
        <v>2</v>
      </c>
      <c r="L58" s="48" t="s">
        <v>17</v>
      </c>
    </row>
    <row r="59" spans="1:12" x14ac:dyDescent="0.2">
      <c r="A59" s="44" t="s">
        <v>106</v>
      </c>
      <c r="B59" s="49" t="s">
        <v>83</v>
      </c>
      <c r="C59" s="55" t="s">
        <v>108</v>
      </c>
      <c r="D59" s="44" t="s">
        <v>41</v>
      </c>
      <c r="E59" s="44" t="s">
        <v>109</v>
      </c>
      <c r="F59" s="10" t="str" cm="1">
        <f t="array" ref="F59">_xlfn.IFS(H59="","", H59&lt;=2,"Low", H59&lt;=5,"Mid", H59&lt;=8,"High", TRUE,"Out of Range")</f>
        <v>Low</v>
      </c>
      <c r="G59" s="44" t="s">
        <v>43</v>
      </c>
      <c r="H59" s="45">
        <v>1</v>
      </c>
      <c r="I59" s="46">
        <v>46080</v>
      </c>
      <c r="J59" s="46">
        <v>46080</v>
      </c>
      <c r="K59" s="47">
        <f>H59/$O$5</f>
        <v>1</v>
      </c>
      <c r="L59" s="48" t="s">
        <v>17</v>
      </c>
    </row>
    <row r="60" spans="1:12" x14ac:dyDescent="0.2">
      <c r="A60" s="44" t="s">
        <v>106</v>
      </c>
      <c r="B60" s="49" t="s">
        <v>83</v>
      </c>
      <c r="C60" s="55" t="s">
        <v>108</v>
      </c>
      <c r="D60" s="44" t="s">
        <v>41</v>
      </c>
      <c r="E60" s="44" t="s">
        <v>110</v>
      </c>
      <c r="F60" s="10" t="str" cm="1">
        <f t="array" ref="F60">_xlfn.IFS(H60="","", H60&lt;=2,"Low", H60&lt;=5,"Mid", H60&lt;=8,"High", TRUE,"Out of Range")</f>
        <v>Low</v>
      </c>
      <c r="G60" s="44" t="s">
        <v>43</v>
      </c>
      <c r="H60" s="45">
        <v>2</v>
      </c>
      <c r="I60" s="46">
        <v>46083</v>
      </c>
      <c r="J60" s="46">
        <v>46084</v>
      </c>
      <c r="K60" s="47">
        <f>H60/$O$5</f>
        <v>2</v>
      </c>
      <c r="L60" s="48" t="s">
        <v>17</v>
      </c>
    </row>
    <row r="61" spans="1:12" x14ac:dyDescent="0.2">
      <c r="A61" s="44" t="s">
        <v>106</v>
      </c>
      <c r="B61" s="49" t="s">
        <v>83</v>
      </c>
      <c r="C61" s="55" t="s">
        <v>108</v>
      </c>
      <c r="D61" s="44" t="s">
        <v>46</v>
      </c>
      <c r="E61" s="44" t="s">
        <v>111</v>
      </c>
      <c r="F61" s="10" t="str" cm="1">
        <f t="array" ref="F61">_xlfn.IFS(H61="","", H61&lt;=2,"Low", H61&lt;=5,"Mid", H61&lt;=8,"High", TRUE,"Out of Range")</f>
        <v>Low</v>
      </c>
      <c r="G61" s="44" t="s">
        <v>62</v>
      </c>
      <c r="H61" s="45">
        <v>1</v>
      </c>
      <c r="I61" s="46">
        <v>46085</v>
      </c>
      <c r="J61" s="46">
        <v>46085</v>
      </c>
      <c r="K61" s="47">
        <f>H61/$O$8</f>
        <v>1</v>
      </c>
      <c r="L61" s="48" t="s">
        <v>17</v>
      </c>
    </row>
    <row r="62" spans="1:12" x14ac:dyDescent="0.2">
      <c r="A62" s="44" t="s">
        <v>112</v>
      </c>
      <c r="B62" s="49" t="s">
        <v>83</v>
      </c>
      <c r="C62" s="55" t="s">
        <v>108</v>
      </c>
      <c r="D62" s="44" t="s">
        <v>46</v>
      </c>
      <c r="E62" s="44" t="s">
        <v>113</v>
      </c>
      <c r="F62" s="10" t="str" cm="1">
        <f t="array" ref="F62">_xlfn.IFS(H62="","", H62&lt;=2,"Low", H62&lt;=5,"Mid", H62&lt;=8,"High", TRUE,"Out of Range")</f>
        <v>Mid</v>
      </c>
      <c r="G62" s="44" t="s">
        <v>13</v>
      </c>
      <c r="H62" s="45">
        <v>3</v>
      </c>
      <c r="I62" s="46">
        <v>46086</v>
      </c>
      <c r="J62" s="46">
        <v>46090</v>
      </c>
      <c r="K62" s="47">
        <f>H62/$O$5</f>
        <v>3</v>
      </c>
      <c r="L62" s="48" t="s">
        <v>17</v>
      </c>
    </row>
    <row r="63" spans="1:12" x14ac:dyDescent="0.2">
      <c r="A63" s="44" t="s">
        <v>114</v>
      </c>
      <c r="B63" s="49" t="s">
        <v>83</v>
      </c>
      <c r="C63" s="55" t="s">
        <v>108</v>
      </c>
      <c r="D63" s="44" t="s">
        <v>50</v>
      </c>
      <c r="E63" s="44" t="s">
        <v>115</v>
      </c>
      <c r="F63" s="10" t="str" cm="1">
        <f t="array" ref="F63">_xlfn.IFS(H63="","", H63&lt;=2,"Low", H63&lt;=5,"Mid", H63&lt;=8,"High", TRUE,"Out of Range")</f>
        <v>Low</v>
      </c>
      <c r="G63" s="44" t="s">
        <v>43</v>
      </c>
      <c r="H63" s="45">
        <v>2</v>
      </c>
      <c r="I63" s="46">
        <v>46091</v>
      </c>
      <c r="J63" s="46">
        <v>46092</v>
      </c>
      <c r="K63" s="47">
        <f>H63/$O$5</f>
        <v>2</v>
      </c>
      <c r="L63" s="48" t="s">
        <v>17</v>
      </c>
    </row>
    <row r="64" spans="1:12" x14ac:dyDescent="0.2">
      <c r="A64" s="44" t="s">
        <v>114</v>
      </c>
      <c r="B64" s="49" t="s">
        <v>83</v>
      </c>
      <c r="C64" s="55" t="s">
        <v>116</v>
      </c>
      <c r="D64" s="44" t="s">
        <v>41</v>
      </c>
      <c r="E64" s="44" t="s">
        <v>117</v>
      </c>
      <c r="F64" s="10" t="str" cm="1">
        <f t="array" ref="F64">_xlfn.IFS(H64="","", H64&lt;=2,"Low", H64&lt;=5,"Mid", H64&lt;=8,"High", TRUE,"Out of Range")</f>
        <v>Low</v>
      </c>
      <c r="G64" s="44" t="s">
        <v>43</v>
      </c>
      <c r="H64" s="45">
        <v>1</v>
      </c>
      <c r="I64" s="46">
        <v>46085</v>
      </c>
      <c r="J64" s="46">
        <v>46085</v>
      </c>
      <c r="K64" s="47">
        <f>H64/$O$5</f>
        <v>1</v>
      </c>
      <c r="L64" s="48" t="s">
        <v>17</v>
      </c>
    </row>
    <row r="65" spans="1:12" x14ac:dyDescent="0.2">
      <c r="A65" s="44" t="s">
        <v>114</v>
      </c>
      <c r="B65" s="49" t="s">
        <v>83</v>
      </c>
      <c r="C65" s="55" t="s">
        <v>116</v>
      </c>
      <c r="D65" s="44" t="s">
        <v>41</v>
      </c>
      <c r="E65" s="44" t="s">
        <v>118</v>
      </c>
      <c r="F65" s="10" t="s">
        <v>19</v>
      </c>
      <c r="G65" s="44" t="s">
        <v>43</v>
      </c>
      <c r="H65" s="45">
        <v>2</v>
      </c>
      <c r="I65" s="46">
        <v>46090</v>
      </c>
      <c r="J65" s="46">
        <v>46091</v>
      </c>
      <c r="K65" s="47">
        <f>H65/$O$5</f>
        <v>2</v>
      </c>
      <c r="L65" s="48" t="s">
        <v>17</v>
      </c>
    </row>
    <row r="66" spans="1:12" x14ac:dyDescent="0.2">
      <c r="A66" s="44" t="s">
        <v>114</v>
      </c>
      <c r="B66" s="49" t="s">
        <v>83</v>
      </c>
      <c r="C66" s="55" t="s">
        <v>116</v>
      </c>
      <c r="D66" s="44" t="s">
        <v>46</v>
      </c>
      <c r="E66" s="44" t="s">
        <v>119</v>
      </c>
      <c r="F66" s="10" t="s">
        <v>19</v>
      </c>
      <c r="G66" s="44" t="s">
        <v>62</v>
      </c>
      <c r="H66" s="45">
        <v>2</v>
      </c>
      <c r="I66" s="46">
        <v>46092</v>
      </c>
      <c r="J66" s="46">
        <v>46093</v>
      </c>
      <c r="K66" s="47">
        <f>H66/$O$8</f>
        <v>2</v>
      </c>
      <c r="L66" s="48" t="s">
        <v>17</v>
      </c>
    </row>
    <row r="67" spans="1:12" x14ac:dyDescent="0.2">
      <c r="A67" s="44" t="s">
        <v>120</v>
      </c>
      <c r="B67" s="49" t="s">
        <v>83</v>
      </c>
      <c r="C67" s="55" t="s">
        <v>116</v>
      </c>
      <c r="D67" s="44" t="s">
        <v>46</v>
      </c>
      <c r="E67" s="44" t="s">
        <v>121</v>
      </c>
      <c r="F67" s="10" t="s">
        <v>19</v>
      </c>
      <c r="G67" s="44" t="s">
        <v>85</v>
      </c>
      <c r="H67" s="45">
        <v>2</v>
      </c>
      <c r="I67" s="46">
        <v>46092</v>
      </c>
      <c r="J67" s="46">
        <v>46093</v>
      </c>
      <c r="K67" s="47">
        <f>H67/$O$5</f>
        <v>2</v>
      </c>
      <c r="L67" s="48" t="s">
        <v>17</v>
      </c>
    </row>
    <row r="68" spans="1:12" x14ac:dyDescent="0.2">
      <c r="A68" s="44" t="s">
        <v>120</v>
      </c>
      <c r="B68" s="49" t="s">
        <v>83</v>
      </c>
      <c r="C68" s="55" t="s">
        <v>116</v>
      </c>
      <c r="D68" s="44" t="s">
        <v>50</v>
      </c>
      <c r="E68" s="44" t="s">
        <v>122</v>
      </c>
      <c r="F68" s="10" t="s">
        <v>25</v>
      </c>
      <c r="G68" s="44" t="s">
        <v>43</v>
      </c>
      <c r="H68" s="45">
        <v>2</v>
      </c>
      <c r="I68" s="46">
        <v>46094</v>
      </c>
      <c r="J68" s="46">
        <v>46097</v>
      </c>
      <c r="K68" s="47">
        <f>H68/$O$5</f>
        <v>2</v>
      </c>
      <c r="L68" s="48" t="s">
        <v>17</v>
      </c>
    </row>
    <row r="69" spans="1:12" x14ac:dyDescent="0.2">
      <c r="A69" s="44" t="s">
        <v>120</v>
      </c>
      <c r="B69" s="49" t="s">
        <v>83</v>
      </c>
      <c r="C69" s="55" t="s">
        <v>123</v>
      </c>
      <c r="D69" s="44" t="s">
        <v>41</v>
      </c>
      <c r="E69" s="44" t="s">
        <v>117</v>
      </c>
      <c r="F69" s="10" t="s">
        <v>15</v>
      </c>
      <c r="G69" s="44" t="s">
        <v>43</v>
      </c>
      <c r="H69" s="45">
        <v>1</v>
      </c>
      <c r="I69" s="46">
        <v>46092</v>
      </c>
      <c r="J69" s="46">
        <v>46092</v>
      </c>
      <c r="K69" s="47">
        <f>H69/$O$5</f>
        <v>1</v>
      </c>
      <c r="L69" s="48" t="s">
        <v>17</v>
      </c>
    </row>
    <row r="70" spans="1:12" x14ac:dyDescent="0.2">
      <c r="A70" s="44" t="s">
        <v>124</v>
      </c>
      <c r="B70" s="49" t="s">
        <v>83</v>
      </c>
      <c r="C70" s="55" t="s">
        <v>123</v>
      </c>
      <c r="D70" s="44" t="s">
        <v>41</v>
      </c>
      <c r="E70" s="44" t="s">
        <v>118</v>
      </c>
      <c r="F70" s="10" t="s">
        <v>19</v>
      </c>
      <c r="G70" s="44" t="s">
        <v>43</v>
      </c>
      <c r="H70" s="45">
        <v>1</v>
      </c>
      <c r="I70" s="46">
        <v>46093</v>
      </c>
      <c r="J70" s="46">
        <v>46093</v>
      </c>
      <c r="K70" s="47">
        <f>H70/$O$5</f>
        <v>1</v>
      </c>
      <c r="L70" s="48" t="s">
        <v>17</v>
      </c>
    </row>
    <row r="71" spans="1:12" x14ac:dyDescent="0.2">
      <c r="A71" s="44" t="s">
        <v>124</v>
      </c>
      <c r="B71" s="49" t="s">
        <v>83</v>
      </c>
      <c r="C71" s="55" t="s">
        <v>123</v>
      </c>
      <c r="D71" s="44" t="s">
        <v>46</v>
      </c>
      <c r="E71" s="44" t="s">
        <v>119</v>
      </c>
      <c r="F71" s="10" t="str" cm="1">
        <f t="array" ref="F71">_xlfn.IFS(H71="","", H71&lt;=2,"Low", H71&lt;=5,"Mid", H71&lt;=8,"High", TRUE,"Out of Range")</f>
        <v>Low</v>
      </c>
      <c r="G71" s="44" t="s">
        <v>62</v>
      </c>
      <c r="H71" s="45">
        <v>1</v>
      </c>
      <c r="I71" s="46">
        <v>46098</v>
      </c>
      <c r="J71" s="46">
        <v>46098</v>
      </c>
      <c r="K71" s="47">
        <f>H71/$O$8</f>
        <v>1</v>
      </c>
      <c r="L71" s="48" t="s">
        <v>17</v>
      </c>
    </row>
    <row r="72" spans="1:12" x14ac:dyDescent="0.2">
      <c r="A72" s="44" t="s">
        <v>124</v>
      </c>
      <c r="B72" s="49" t="s">
        <v>83</v>
      </c>
      <c r="C72" s="55" t="s">
        <v>123</v>
      </c>
      <c r="D72" s="44" t="s">
        <v>46</v>
      </c>
      <c r="E72" s="44" t="s">
        <v>121</v>
      </c>
      <c r="F72" s="10" t="str" cm="1">
        <f t="array" ref="F72">_xlfn.IFS(H72="","", H72&lt;=2,"Low", H72&lt;=5,"Mid", H72&lt;=8,"High", TRUE,"Out of Range")</f>
        <v>Mid</v>
      </c>
      <c r="G72" s="44" t="s">
        <v>13</v>
      </c>
      <c r="H72" s="45">
        <v>3</v>
      </c>
      <c r="I72" s="46">
        <v>46098</v>
      </c>
      <c r="J72" s="46">
        <v>46100</v>
      </c>
      <c r="K72" s="47">
        <f>H72/$O$5</f>
        <v>3</v>
      </c>
      <c r="L72" s="48" t="s">
        <v>17</v>
      </c>
    </row>
    <row r="73" spans="1:12" x14ac:dyDescent="0.2">
      <c r="A73" s="44" t="s">
        <v>124</v>
      </c>
      <c r="B73" s="49" t="s">
        <v>83</v>
      </c>
      <c r="C73" s="55" t="s">
        <v>123</v>
      </c>
      <c r="D73" s="44" t="s">
        <v>50</v>
      </c>
      <c r="E73" s="44" t="s">
        <v>122</v>
      </c>
      <c r="F73" s="10" t="str" cm="1">
        <f t="array" ref="F73">_xlfn.IFS(H73="","", H73&lt;=2,"Low", H73&lt;=5,"Mid", H73&lt;=8,"High", TRUE,"Out of Range")</f>
        <v>Low</v>
      </c>
      <c r="G73" s="44" t="s">
        <v>43</v>
      </c>
      <c r="H73" s="45">
        <v>1</v>
      </c>
      <c r="I73" s="46">
        <v>46101</v>
      </c>
      <c r="J73" s="46">
        <v>46101</v>
      </c>
      <c r="K73" s="47">
        <f>H73/$O$5</f>
        <v>1</v>
      </c>
      <c r="L73" s="48" t="s">
        <v>17</v>
      </c>
    </row>
    <row r="74" spans="1:12" x14ac:dyDescent="0.2">
      <c r="A74" s="44" t="s">
        <v>73</v>
      </c>
      <c r="B74" s="49" t="s">
        <v>83</v>
      </c>
      <c r="C74" s="44" t="s">
        <v>125</v>
      </c>
      <c r="D74" s="44" t="s">
        <v>41</v>
      </c>
      <c r="E74" s="44" t="s">
        <v>126</v>
      </c>
      <c r="F74" s="10" t="str" cm="1">
        <f t="array" ref="F74">_xlfn.IFS(H74="","", H74&lt;=2,"Low", H74&lt;=5,"Mid", H74&lt;=8,"High", TRUE,"Out of Range")</f>
        <v>Low</v>
      </c>
      <c r="G74" s="44" t="s">
        <v>43</v>
      </c>
      <c r="H74" s="45">
        <v>1</v>
      </c>
      <c r="I74" s="46">
        <v>46098</v>
      </c>
      <c r="J74" s="46">
        <v>46098</v>
      </c>
      <c r="K74" s="47">
        <f>H74/$O$6</f>
        <v>1</v>
      </c>
      <c r="L74" s="48" t="s">
        <v>17</v>
      </c>
    </row>
    <row r="75" spans="1:12" x14ac:dyDescent="0.2">
      <c r="A75" s="44" t="s">
        <v>80</v>
      </c>
      <c r="B75" s="49" t="s">
        <v>83</v>
      </c>
      <c r="C75" s="44" t="s">
        <v>125</v>
      </c>
      <c r="D75" s="44" t="s">
        <v>41</v>
      </c>
      <c r="E75" s="44" t="s">
        <v>127</v>
      </c>
      <c r="F75" s="10" t="str" cm="1">
        <f t="array" ref="F75">_xlfn.IFS(H75="","", H75&lt;=2,"Low", H75&lt;=5,"Mid", H75&lt;=8,"High", TRUE,"Out of Range")</f>
        <v>Low</v>
      </c>
      <c r="G75" s="44" t="s">
        <v>43</v>
      </c>
      <c r="H75" s="45">
        <v>1</v>
      </c>
      <c r="I75" s="46">
        <v>46099</v>
      </c>
      <c r="J75" s="46">
        <v>46099</v>
      </c>
      <c r="K75" s="47">
        <f>H75/$O$6</f>
        <v>1</v>
      </c>
      <c r="L75" s="48" t="s">
        <v>17</v>
      </c>
    </row>
    <row r="76" spans="1:12" x14ac:dyDescent="0.2">
      <c r="A76" s="44" t="s">
        <v>80</v>
      </c>
      <c r="B76" s="49" t="s">
        <v>83</v>
      </c>
      <c r="C76" s="44" t="s">
        <v>125</v>
      </c>
      <c r="D76" s="44" t="s">
        <v>46</v>
      </c>
      <c r="E76" s="44" t="s">
        <v>128</v>
      </c>
      <c r="F76" s="10" t="str" cm="1">
        <f t="array" ref="F76">_xlfn.IFS(H76="","", H76&lt;=2,"Low", H76&lt;=5,"Mid", H76&lt;=8,"High", TRUE,"Out of Range")</f>
        <v>Low</v>
      </c>
      <c r="G76" s="44" t="s">
        <v>62</v>
      </c>
      <c r="H76" s="45">
        <v>1</v>
      </c>
      <c r="I76" s="46">
        <v>46104</v>
      </c>
      <c r="J76" s="46">
        <v>46104</v>
      </c>
      <c r="K76" s="47">
        <f>H76/$O$8</f>
        <v>1</v>
      </c>
      <c r="L76" s="48" t="s">
        <v>17</v>
      </c>
    </row>
    <row r="77" spans="1:12" x14ac:dyDescent="0.2">
      <c r="A77" s="44" t="s">
        <v>80</v>
      </c>
      <c r="B77" s="49" t="s">
        <v>83</v>
      </c>
      <c r="C77" s="44" t="s">
        <v>125</v>
      </c>
      <c r="D77" s="44" t="s">
        <v>46</v>
      </c>
      <c r="E77" s="44" t="s">
        <v>129</v>
      </c>
      <c r="F77" s="10" t="s">
        <v>19</v>
      </c>
      <c r="G77" s="44" t="s">
        <v>85</v>
      </c>
      <c r="H77" s="45">
        <v>2</v>
      </c>
      <c r="I77" s="46">
        <v>46104</v>
      </c>
      <c r="J77" s="46">
        <v>46105</v>
      </c>
      <c r="K77" s="47">
        <f>H77/$O$7</f>
        <v>2</v>
      </c>
      <c r="L77" s="48" t="s">
        <v>17</v>
      </c>
    </row>
    <row r="78" spans="1:12" x14ac:dyDescent="0.2">
      <c r="A78" s="44" t="s">
        <v>96</v>
      </c>
      <c r="B78" s="49" t="s">
        <v>83</v>
      </c>
      <c r="C78" s="44" t="s">
        <v>125</v>
      </c>
      <c r="D78" s="44" t="s">
        <v>50</v>
      </c>
      <c r="E78" s="44" t="s">
        <v>130</v>
      </c>
      <c r="F78" s="10" t="s">
        <v>19</v>
      </c>
      <c r="G78" s="44" t="s">
        <v>43</v>
      </c>
      <c r="H78" s="45">
        <v>1</v>
      </c>
      <c r="I78" s="46">
        <v>46106</v>
      </c>
      <c r="J78" s="46">
        <v>46106</v>
      </c>
      <c r="K78" s="47">
        <f>H78/$O$5</f>
        <v>1</v>
      </c>
      <c r="L78" s="48" t="s">
        <v>17</v>
      </c>
    </row>
    <row r="79" spans="1:12" x14ac:dyDescent="0.2">
      <c r="A79" s="44" t="s">
        <v>96</v>
      </c>
      <c r="B79" s="49" t="s">
        <v>83</v>
      </c>
      <c r="C79" s="44" t="s">
        <v>131</v>
      </c>
      <c r="D79" s="44" t="s">
        <v>41</v>
      </c>
      <c r="E79" s="44" t="s">
        <v>132</v>
      </c>
      <c r="F79" s="10" t="s">
        <v>19</v>
      </c>
      <c r="G79" s="44" t="s">
        <v>43</v>
      </c>
      <c r="H79" s="45">
        <v>2</v>
      </c>
      <c r="I79" s="46">
        <v>46104</v>
      </c>
      <c r="J79" s="46">
        <v>46105</v>
      </c>
      <c r="K79" s="47">
        <f>H79/$O$6</f>
        <v>2</v>
      </c>
      <c r="L79" s="48" t="s">
        <v>17</v>
      </c>
    </row>
    <row r="80" spans="1:12" x14ac:dyDescent="0.2">
      <c r="A80" s="44" t="s">
        <v>99</v>
      </c>
      <c r="B80" s="49" t="s">
        <v>83</v>
      </c>
      <c r="C80" s="44" t="s">
        <v>131</v>
      </c>
      <c r="D80" s="44" t="s">
        <v>41</v>
      </c>
      <c r="E80" s="44" t="s">
        <v>133</v>
      </c>
      <c r="F80" s="10" t="s">
        <v>25</v>
      </c>
      <c r="G80" s="44" t="s">
        <v>43</v>
      </c>
      <c r="H80" s="45">
        <v>2</v>
      </c>
      <c r="I80" s="46">
        <v>46107</v>
      </c>
      <c r="J80" s="46">
        <v>46108</v>
      </c>
      <c r="K80" s="47">
        <f>H80/$O$6</f>
        <v>2</v>
      </c>
      <c r="L80" s="48" t="s">
        <v>17</v>
      </c>
    </row>
    <row r="81" spans="1:12" x14ac:dyDescent="0.2">
      <c r="A81" s="44" t="s">
        <v>99</v>
      </c>
      <c r="B81" s="49" t="s">
        <v>83</v>
      </c>
      <c r="C81" s="44" t="s">
        <v>131</v>
      </c>
      <c r="D81" s="44" t="s">
        <v>46</v>
      </c>
      <c r="E81" s="44" t="s">
        <v>134</v>
      </c>
      <c r="F81" s="10" t="s">
        <v>15</v>
      </c>
      <c r="G81" s="44" t="s">
        <v>62</v>
      </c>
      <c r="H81" s="45">
        <v>3</v>
      </c>
      <c r="I81" s="46">
        <v>46111</v>
      </c>
      <c r="J81" s="46">
        <v>46113</v>
      </c>
      <c r="K81" s="47">
        <f>H81/$O$8</f>
        <v>3</v>
      </c>
      <c r="L81" s="48" t="s">
        <v>17</v>
      </c>
    </row>
    <row r="82" spans="1:12" x14ac:dyDescent="0.2">
      <c r="A82" s="44" t="s">
        <v>99</v>
      </c>
      <c r="B82" s="49" t="s">
        <v>83</v>
      </c>
      <c r="C82" s="44" t="s">
        <v>131</v>
      </c>
      <c r="D82" s="44" t="s">
        <v>46</v>
      </c>
      <c r="E82" s="44" t="s">
        <v>135</v>
      </c>
      <c r="F82" s="10" t="s">
        <v>19</v>
      </c>
      <c r="G82" s="44" t="s">
        <v>85</v>
      </c>
      <c r="H82" s="45">
        <v>5</v>
      </c>
      <c r="I82" s="46">
        <v>46111</v>
      </c>
      <c r="J82" s="46">
        <v>46119</v>
      </c>
      <c r="K82" s="47">
        <f>H82/$O$7</f>
        <v>5</v>
      </c>
      <c r="L82" s="48" t="s">
        <v>17</v>
      </c>
    </row>
    <row r="83" spans="1:12" x14ac:dyDescent="0.2">
      <c r="A83" s="44" t="s">
        <v>106</v>
      </c>
      <c r="B83" s="49" t="s">
        <v>83</v>
      </c>
      <c r="C83" s="44" t="s">
        <v>131</v>
      </c>
      <c r="D83" s="44" t="s">
        <v>50</v>
      </c>
      <c r="E83" s="44" t="s">
        <v>136</v>
      </c>
      <c r="F83" s="10" t="str" cm="1">
        <f t="array" ref="F83">_xlfn.IFS(H83="","", H83&lt;=2,"Low", H83&lt;=5,"Mid", H83&lt;=8,"High", TRUE,"Out of Range")</f>
        <v>Low</v>
      </c>
      <c r="G83" s="44" t="s">
        <v>43</v>
      </c>
      <c r="H83" s="45">
        <v>1</v>
      </c>
      <c r="I83" s="46">
        <v>46120</v>
      </c>
      <c r="J83" s="46">
        <v>46120</v>
      </c>
      <c r="K83" s="47">
        <f>H83/$O$5</f>
        <v>1</v>
      </c>
      <c r="L83" s="48" t="s">
        <v>17</v>
      </c>
    </row>
    <row r="84" spans="1:12" x14ac:dyDescent="0.2">
      <c r="A84" s="44" t="s">
        <v>106</v>
      </c>
      <c r="B84" s="49" t="s">
        <v>83</v>
      </c>
      <c r="C84" s="44" t="s">
        <v>137</v>
      </c>
      <c r="D84" s="44" t="s">
        <v>41</v>
      </c>
      <c r="E84" s="44" t="s">
        <v>138</v>
      </c>
      <c r="F84" s="10" t="str" cm="1">
        <f t="array" ref="F84">_xlfn.IFS(H84="","", H84&lt;=2,"Low", H84&lt;=5,"Mid", H84&lt;=8,"High", TRUE,"Out of Range")</f>
        <v>Low</v>
      </c>
      <c r="G84" s="44" t="s">
        <v>43</v>
      </c>
      <c r="H84" s="45">
        <v>1</v>
      </c>
      <c r="I84" s="46">
        <v>46111</v>
      </c>
      <c r="J84" s="46">
        <v>46111</v>
      </c>
      <c r="K84" s="47">
        <f>H84/$O$6</f>
        <v>1</v>
      </c>
      <c r="L84" s="48" t="s">
        <v>17</v>
      </c>
    </row>
    <row r="85" spans="1:12" x14ac:dyDescent="0.2">
      <c r="A85" s="44" t="s">
        <v>112</v>
      </c>
      <c r="B85" s="49" t="s">
        <v>83</v>
      </c>
      <c r="C85" s="44" t="s">
        <v>137</v>
      </c>
      <c r="D85" s="44" t="s">
        <v>41</v>
      </c>
      <c r="E85" s="44" t="s">
        <v>139</v>
      </c>
      <c r="F85" s="10" t="str" cm="1">
        <f t="array" ref="F85">_xlfn.IFS(H85="","", H85&lt;=2,"Low", H85&lt;=5,"Mid", H85&lt;=8,"High", TRUE,"Out of Range")</f>
        <v>Low</v>
      </c>
      <c r="G85" s="44" t="s">
        <v>43</v>
      </c>
      <c r="H85" s="45">
        <v>2</v>
      </c>
      <c r="I85" s="46">
        <v>46112</v>
      </c>
      <c r="J85" s="46">
        <v>46113</v>
      </c>
      <c r="K85" s="47">
        <f>H85/$O$6</f>
        <v>2</v>
      </c>
      <c r="L85" s="48" t="s">
        <v>17</v>
      </c>
    </row>
    <row r="86" spans="1:12" x14ac:dyDescent="0.2">
      <c r="A86" s="44" t="s">
        <v>112</v>
      </c>
      <c r="B86" s="49" t="s">
        <v>83</v>
      </c>
      <c r="C86" s="44" t="s">
        <v>137</v>
      </c>
      <c r="D86" s="44" t="s">
        <v>46</v>
      </c>
      <c r="E86" s="44" t="s">
        <v>140</v>
      </c>
      <c r="F86" s="10" t="str" cm="1">
        <f t="array" ref="F86">_xlfn.IFS(H86="","", H86&lt;=2,"Low", H86&lt;=5,"Mid", H86&lt;=8,"High", TRUE,"Out of Range")</f>
        <v>Low</v>
      </c>
      <c r="G86" s="44" t="s">
        <v>62</v>
      </c>
      <c r="H86" s="45">
        <v>2</v>
      </c>
      <c r="I86" s="46">
        <v>46114</v>
      </c>
      <c r="J86" s="46">
        <v>46119</v>
      </c>
      <c r="K86" s="47">
        <f>H86/$O$8</f>
        <v>2</v>
      </c>
      <c r="L86" s="48" t="s">
        <v>17</v>
      </c>
    </row>
    <row r="87" spans="1:12" x14ac:dyDescent="0.2">
      <c r="A87" s="44" t="s">
        <v>114</v>
      </c>
      <c r="B87" s="49" t="s">
        <v>83</v>
      </c>
      <c r="C87" s="44" t="s">
        <v>137</v>
      </c>
      <c r="D87" s="44" t="s">
        <v>46</v>
      </c>
      <c r="E87" s="44" t="s">
        <v>141</v>
      </c>
      <c r="F87" s="10" t="str" cm="1">
        <f t="array" ref="F87">_xlfn.IFS(H87="","", H87&lt;=2,"Low", H87&lt;=5,"Mid", H87&lt;=8,"High", TRUE,"Out of Range")</f>
        <v>Mid</v>
      </c>
      <c r="G87" s="44" t="s">
        <v>85</v>
      </c>
      <c r="H87" s="45">
        <v>4</v>
      </c>
      <c r="I87" s="46">
        <v>46120</v>
      </c>
      <c r="J87" s="46">
        <v>46125</v>
      </c>
      <c r="K87" s="47">
        <f>H87/$O$7</f>
        <v>4</v>
      </c>
      <c r="L87" s="48" t="s">
        <v>17</v>
      </c>
    </row>
    <row r="88" spans="1:12" x14ac:dyDescent="0.2">
      <c r="A88" s="44" t="s">
        <v>120</v>
      </c>
      <c r="B88" s="49" t="s">
        <v>83</v>
      </c>
      <c r="C88" s="44" t="s">
        <v>137</v>
      </c>
      <c r="D88" s="44" t="s">
        <v>50</v>
      </c>
      <c r="E88" s="44" t="s">
        <v>142</v>
      </c>
      <c r="F88" s="10" t="str" cm="1">
        <f t="array" ref="F88">_xlfn.IFS(H88="","", H88&lt;=2,"Low", H88&lt;=5,"Mid", H88&lt;=8,"High", TRUE,"Out of Range")</f>
        <v>Low</v>
      </c>
      <c r="G88" s="44" t="s">
        <v>43</v>
      </c>
      <c r="H88" s="45">
        <v>2</v>
      </c>
      <c r="I88" s="46">
        <v>46126</v>
      </c>
      <c r="J88" s="46">
        <v>46127</v>
      </c>
      <c r="K88" s="47">
        <f>H88/$O$5</f>
        <v>2</v>
      </c>
      <c r="L88" s="48" t="s">
        <v>17</v>
      </c>
    </row>
    <row r="89" spans="1:12" x14ac:dyDescent="0.2">
      <c r="A89" s="44" t="s">
        <v>120</v>
      </c>
      <c r="B89" s="49" t="s">
        <v>83</v>
      </c>
      <c r="C89" s="44" t="s">
        <v>143</v>
      </c>
      <c r="D89" s="44" t="s">
        <v>41</v>
      </c>
      <c r="E89" s="44" t="s">
        <v>144</v>
      </c>
      <c r="F89" s="10" t="s">
        <v>19</v>
      </c>
      <c r="G89" s="44" t="s">
        <v>43</v>
      </c>
      <c r="H89" s="45">
        <v>1</v>
      </c>
      <c r="I89" s="46">
        <v>46114</v>
      </c>
      <c r="J89" s="46">
        <v>46114</v>
      </c>
      <c r="K89" s="47">
        <f>H89/$O$6</f>
        <v>1</v>
      </c>
      <c r="L89" s="48" t="s">
        <v>17</v>
      </c>
    </row>
    <row r="90" spans="1:12" x14ac:dyDescent="0.2">
      <c r="A90" s="44" t="s">
        <v>120</v>
      </c>
      <c r="B90" s="49" t="s">
        <v>83</v>
      </c>
      <c r="C90" s="44" t="s">
        <v>143</v>
      </c>
      <c r="D90" s="44" t="s">
        <v>41</v>
      </c>
      <c r="E90" s="44" t="s">
        <v>145</v>
      </c>
      <c r="F90" s="10" t="s">
        <v>19</v>
      </c>
      <c r="G90" s="44" t="s">
        <v>43</v>
      </c>
      <c r="H90" s="45">
        <v>1</v>
      </c>
      <c r="I90" s="46">
        <v>46121</v>
      </c>
      <c r="J90" s="46">
        <v>46121</v>
      </c>
      <c r="K90" s="47">
        <f>H90/$O$6</f>
        <v>1</v>
      </c>
      <c r="L90" s="48" t="s">
        <v>17</v>
      </c>
    </row>
    <row r="91" spans="1:12" x14ac:dyDescent="0.2">
      <c r="A91" s="44" t="s">
        <v>124</v>
      </c>
      <c r="B91" s="49" t="s">
        <v>83</v>
      </c>
      <c r="C91" s="44" t="s">
        <v>143</v>
      </c>
      <c r="D91" s="44" t="s">
        <v>46</v>
      </c>
      <c r="E91" s="44" t="s">
        <v>146</v>
      </c>
      <c r="F91" s="10" t="s">
        <v>19</v>
      </c>
      <c r="G91" s="44" t="s">
        <v>62</v>
      </c>
      <c r="H91" s="45">
        <v>2</v>
      </c>
      <c r="I91" s="46">
        <v>46122</v>
      </c>
      <c r="J91" s="46">
        <v>46125</v>
      </c>
      <c r="K91" s="47">
        <f>H91/$O$8</f>
        <v>2</v>
      </c>
      <c r="L91" s="48" t="s">
        <v>17</v>
      </c>
    </row>
    <row r="92" spans="1:12" x14ac:dyDescent="0.2">
      <c r="A92" s="44" t="s">
        <v>124</v>
      </c>
      <c r="B92" s="49" t="s">
        <v>83</v>
      </c>
      <c r="C92" s="44" t="s">
        <v>143</v>
      </c>
      <c r="D92" s="44" t="s">
        <v>46</v>
      </c>
      <c r="E92" s="44" t="s">
        <v>147</v>
      </c>
      <c r="F92" s="10" t="s">
        <v>25</v>
      </c>
      <c r="G92" s="44" t="s">
        <v>85</v>
      </c>
      <c r="H92" s="45">
        <v>3</v>
      </c>
      <c r="I92" s="46">
        <v>46126</v>
      </c>
      <c r="J92" s="46">
        <v>46128</v>
      </c>
      <c r="K92" s="47">
        <f>H92/$O$7</f>
        <v>3</v>
      </c>
      <c r="L92" s="48" t="s">
        <v>17</v>
      </c>
    </row>
    <row r="93" spans="1:12" x14ac:dyDescent="0.2">
      <c r="A93" s="44" t="s">
        <v>148</v>
      </c>
      <c r="B93" s="49" t="s">
        <v>83</v>
      </c>
      <c r="C93" s="44" t="s">
        <v>143</v>
      </c>
      <c r="D93" s="44" t="s">
        <v>50</v>
      </c>
      <c r="E93" s="44" t="s">
        <v>149</v>
      </c>
      <c r="F93" s="10" t="s">
        <v>15</v>
      </c>
      <c r="G93" s="44" t="s">
        <v>43</v>
      </c>
      <c r="H93" s="45">
        <v>1</v>
      </c>
      <c r="I93" s="46">
        <v>46129</v>
      </c>
      <c r="J93" s="46">
        <v>46129</v>
      </c>
      <c r="K93" s="47">
        <f>H93/$O$5</f>
        <v>1</v>
      </c>
      <c r="L93" s="48" t="s">
        <v>17</v>
      </c>
    </row>
    <row r="94" spans="1:12" x14ac:dyDescent="0.2">
      <c r="A94" s="44" t="s">
        <v>150</v>
      </c>
      <c r="B94" s="49" t="s">
        <v>83</v>
      </c>
      <c r="C94" s="44" t="s">
        <v>151</v>
      </c>
      <c r="D94" s="44" t="s">
        <v>41</v>
      </c>
      <c r="E94" s="44" t="s">
        <v>152</v>
      </c>
      <c r="F94" s="10" t="s">
        <v>19</v>
      </c>
      <c r="G94" s="44" t="s">
        <v>43</v>
      </c>
      <c r="H94" s="45">
        <v>2</v>
      </c>
      <c r="I94" s="46">
        <v>46122</v>
      </c>
      <c r="J94" s="46">
        <v>46125</v>
      </c>
      <c r="K94" s="47">
        <f>H94/$O$6</f>
        <v>2</v>
      </c>
      <c r="L94" s="48" t="s">
        <v>17</v>
      </c>
    </row>
    <row r="95" spans="1:12" x14ac:dyDescent="0.2">
      <c r="A95" s="44" t="s">
        <v>150</v>
      </c>
      <c r="B95" s="49" t="s">
        <v>83</v>
      </c>
      <c r="C95" s="44" t="s">
        <v>151</v>
      </c>
      <c r="D95" s="44" t="s">
        <v>41</v>
      </c>
      <c r="E95" s="44" t="s">
        <v>153</v>
      </c>
      <c r="F95" s="10" t="str" cm="1">
        <f t="array" ref="F95">_xlfn.IFS(H95="","", H95&lt;=2,"Low", H95&lt;=5,"Mid", H95&lt;=8,"High", TRUE,"Out of Range")</f>
        <v>Low</v>
      </c>
      <c r="G95" s="44" t="s">
        <v>43</v>
      </c>
      <c r="H95" s="45">
        <v>2</v>
      </c>
      <c r="I95" s="46">
        <v>46132</v>
      </c>
      <c r="J95" s="46">
        <v>46133</v>
      </c>
      <c r="K95" s="47">
        <f>H95/$O$6</f>
        <v>2</v>
      </c>
      <c r="L95" s="48" t="s">
        <v>17</v>
      </c>
    </row>
    <row r="96" spans="1:12" x14ac:dyDescent="0.2">
      <c r="A96" s="44" t="s">
        <v>150</v>
      </c>
      <c r="B96" s="49" t="s">
        <v>83</v>
      </c>
      <c r="C96" s="44" t="s">
        <v>151</v>
      </c>
      <c r="D96" s="44" t="s">
        <v>46</v>
      </c>
      <c r="E96" s="44" t="s">
        <v>154</v>
      </c>
      <c r="F96" s="10" t="str" cm="1">
        <f t="array" ref="F96">_xlfn.IFS(H96="","", H96&lt;=2,"Low", H96&lt;=5,"Mid", H96&lt;=8,"High", TRUE,"Out of Range")</f>
        <v>Low</v>
      </c>
      <c r="G96" s="44" t="s">
        <v>62</v>
      </c>
      <c r="H96" s="45">
        <v>2</v>
      </c>
      <c r="I96" s="46">
        <v>46134</v>
      </c>
      <c r="J96" s="46">
        <v>46135</v>
      </c>
      <c r="K96" s="47">
        <f>H96/$O$8</f>
        <v>2</v>
      </c>
      <c r="L96" s="48" t="s">
        <v>17</v>
      </c>
    </row>
    <row r="97" spans="1:12" x14ac:dyDescent="0.2">
      <c r="A97" s="44" t="s">
        <v>155</v>
      </c>
      <c r="B97" s="49" t="s">
        <v>83</v>
      </c>
      <c r="C97" s="44" t="s">
        <v>151</v>
      </c>
      <c r="D97" s="44" t="s">
        <v>46</v>
      </c>
      <c r="E97" s="44" t="s">
        <v>156</v>
      </c>
      <c r="F97" s="10" t="str" cm="1">
        <f t="array" ref="F97">_xlfn.IFS(H97="","", H97&lt;=2,"Low", H97&lt;=5,"Mid", H97&lt;=8,"High", TRUE,"Out of Range")</f>
        <v>Mid</v>
      </c>
      <c r="G97" s="44" t="s">
        <v>85</v>
      </c>
      <c r="H97" s="45">
        <v>5</v>
      </c>
      <c r="I97" s="46">
        <v>46134</v>
      </c>
      <c r="J97" s="46">
        <v>46140</v>
      </c>
      <c r="K97" s="47">
        <f>H97/$O$7</f>
        <v>5</v>
      </c>
      <c r="L97" s="48" t="s">
        <v>17</v>
      </c>
    </row>
    <row r="98" spans="1:12" x14ac:dyDescent="0.2">
      <c r="A98" s="44" t="s">
        <v>155</v>
      </c>
      <c r="B98" s="49" t="s">
        <v>83</v>
      </c>
      <c r="C98" s="44" t="s">
        <v>151</v>
      </c>
      <c r="D98" s="44" t="s">
        <v>50</v>
      </c>
      <c r="E98" s="44" t="s">
        <v>157</v>
      </c>
      <c r="F98" s="10" t="str" cm="1">
        <f t="array" ref="F98">_xlfn.IFS(H98="","", H98&lt;=2,"Low", H98&lt;=5,"Mid", H98&lt;=8,"High", TRUE,"Out of Range")</f>
        <v>Low</v>
      </c>
      <c r="G98" s="44" t="s">
        <v>43</v>
      </c>
      <c r="H98" s="45">
        <v>2</v>
      </c>
      <c r="I98" s="46">
        <v>46141</v>
      </c>
      <c r="J98" s="46">
        <v>46142</v>
      </c>
      <c r="K98" s="47">
        <f>H98/$O$5</f>
        <v>2</v>
      </c>
      <c r="L98" s="48" t="s">
        <v>17</v>
      </c>
    </row>
    <row r="99" spans="1:12" x14ac:dyDescent="0.2">
      <c r="A99" s="44" t="s">
        <v>158</v>
      </c>
      <c r="B99" s="49" t="s">
        <v>83</v>
      </c>
      <c r="C99" s="44" t="s">
        <v>159</v>
      </c>
      <c r="D99" s="44" t="s">
        <v>41</v>
      </c>
      <c r="E99" s="44" t="s">
        <v>160</v>
      </c>
      <c r="F99" s="10" t="str" cm="1">
        <f t="array" ref="F99">_xlfn.IFS(H99="","", H99&lt;=2,"Low", H99&lt;=5,"Mid", H99&lt;=8,"High", TRUE,"Out of Range")</f>
        <v>Low</v>
      </c>
      <c r="G99" s="44" t="s">
        <v>43</v>
      </c>
      <c r="H99" s="45">
        <v>1</v>
      </c>
      <c r="I99" s="46">
        <v>46134</v>
      </c>
      <c r="J99" s="46">
        <v>46134</v>
      </c>
      <c r="K99" s="47">
        <f>H99/$O$6</f>
        <v>1</v>
      </c>
      <c r="L99" s="48" t="s">
        <v>17</v>
      </c>
    </row>
    <row r="100" spans="1:12" x14ac:dyDescent="0.2">
      <c r="A100" s="44" t="s">
        <v>158</v>
      </c>
      <c r="B100" s="49" t="s">
        <v>83</v>
      </c>
      <c r="C100" s="44" t="s">
        <v>159</v>
      </c>
      <c r="D100" s="44" t="s">
        <v>41</v>
      </c>
      <c r="E100" s="44" t="s">
        <v>161</v>
      </c>
      <c r="F100" s="10" t="str" cm="1">
        <f t="array" ref="F100">_xlfn.IFS(H100="","", H100&lt;=2,"Low", H100&lt;=5,"Mid", H100&lt;=8,"High", TRUE,"Out of Range")</f>
        <v>Low</v>
      </c>
      <c r="G100" s="44" t="s">
        <v>43</v>
      </c>
      <c r="H100" s="45">
        <v>1</v>
      </c>
      <c r="I100" s="46">
        <v>46135</v>
      </c>
      <c r="J100" s="46">
        <v>46135</v>
      </c>
      <c r="K100" s="47">
        <f>H100/$O$6</f>
        <v>1</v>
      </c>
      <c r="L100" s="48" t="s">
        <v>17</v>
      </c>
    </row>
    <row r="101" spans="1:12" x14ac:dyDescent="0.2">
      <c r="A101" s="44" t="s">
        <v>158</v>
      </c>
      <c r="B101" s="49" t="s">
        <v>83</v>
      </c>
      <c r="C101" s="44" t="s">
        <v>159</v>
      </c>
      <c r="D101" s="44" t="s">
        <v>46</v>
      </c>
      <c r="E101" s="44" t="s">
        <v>162</v>
      </c>
      <c r="F101" s="10" t="s">
        <v>19</v>
      </c>
      <c r="G101" s="44" t="s">
        <v>62</v>
      </c>
      <c r="H101" s="45">
        <v>2</v>
      </c>
      <c r="I101" s="46">
        <v>46136</v>
      </c>
      <c r="J101" s="46">
        <v>46139</v>
      </c>
      <c r="K101" s="47">
        <f>H101/$O$8</f>
        <v>2</v>
      </c>
      <c r="L101" s="48" t="s">
        <v>17</v>
      </c>
    </row>
    <row r="102" spans="1:12" x14ac:dyDescent="0.2">
      <c r="A102" s="44" t="s">
        <v>163</v>
      </c>
      <c r="B102" s="49" t="s">
        <v>83</v>
      </c>
      <c r="C102" s="44" t="s">
        <v>159</v>
      </c>
      <c r="D102" s="44" t="s">
        <v>46</v>
      </c>
      <c r="E102" s="44" t="s">
        <v>164</v>
      </c>
      <c r="F102" s="10" t="s">
        <v>19</v>
      </c>
      <c r="G102" s="44" t="s">
        <v>85</v>
      </c>
      <c r="H102" s="45">
        <v>3</v>
      </c>
      <c r="I102" s="46">
        <v>46141</v>
      </c>
      <c r="J102" s="46">
        <v>46146</v>
      </c>
      <c r="K102" s="47">
        <f>H102/$O$7</f>
        <v>3</v>
      </c>
      <c r="L102" s="48" t="s">
        <v>17</v>
      </c>
    </row>
    <row r="103" spans="1:12" x14ac:dyDescent="0.2">
      <c r="A103" s="44" t="s">
        <v>165</v>
      </c>
      <c r="B103" s="49" t="s">
        <v>83</v>
      </c>
      <c r="C103" s="44" t="s">
        <v>159</v>
      </c>
      <c r="D103" s="44" t="s">
        <v>50</v>
      </c>
      <c r="E103" s="44" t="s">
        <v>166</v>
      </c>
      <c r="F103" s="10" t="s">
        <v>19</v>
      </c>
      <c r="G103" s="44" t="s">
        <v>43</v>
      </c>
      <c r="H103" s="45">
        <v>1</v>
      </c>
      <c r="I103" s="46">
        <v>46147</v>
      </c>
      <c r="J103" s="46">
        <v>46147</v>
      </c>
      <c r="K103" s="47">
        <f>H103/$O$5</f>
        <v>1</v>
      </c>
      <c r="L103" s="48" t="s">
        <v>17</v>
      </c>
    </row>
    <row r="104" spans="1:12" x14ac:dyDescent="0.2">
      <c r="A104" s="44" t="s">
        <v>165</v>
      </c>
      <c r="B104" s="49" t="s">
        <v>83</v>
      </c>
      <c r="C104" s="44" t="s">
        <v>167</v>
      </c>
      <c r="D104" s="44" t="s">
        <v>41</v>
      </c>
      <c r="E104" s="44" t="s">
        <v>168</v>
      </c>
      <c r="F104" s="10" t="s">
        <v>25</v>
      </c>
      <c r="G104" s="44" t="s">
        <v>43</v>
      </c>
      <c r="H104" s="45">
        <v>2</v>
      </c>
      <c r="I104" s="46">
        <v>46136</v>
      </c>
      <c r="J104" s="46">
        <v>46139</v>
      </c>
      <c r="K104" s="47">
        <f>H104/$O$6</f>
        <v>2</v>
      </c>
      <c r="L104" s="48" t="s">
        <v>17</v>
      </c>
    </row>
    <row r="105" spans="1:12" x14ac:dyDescent="0.2">
      <c r="A105" s="44" t="s">
        <v>165</v>
      </c>
      <c r="B105" s="49" t="s">
        <v>83</v>
      </c>
      <c r="C105" s="44" t="s">
        <v>167</v>
      </c>
      <c r="D105" s="44" t="s">
        <v>41</v>
      </c>
      <c r="E105" s="44" t="s">
        <v>169</v>
      </c>
      <c r="F105" s="10" t="s">
        <v>15</v>
      </c>
      <c r="G105" s="44" t="s">
        <v>43</v>
      </c>
      <c r="H105" s="45">
        <v>2</v>
      </c>
      <c r="I105" s="46">
        <v>46140</v>
      </c>
      <c r="J105" s="46">
        <v>46146</v>
      </c>
      <c r="K105" s="47">
        <f>H105/$O$6</f>
        <v>2</v>
      </c>
      <c r="L105" s="48" t="s">
        <v>17</v>
      </c>
    </row>
    <row r="106" spans="1:12" x14ac:dyDescent="0.2">
      <c r="A106" s="44" t="s">
        <v>165</v>
      </c>
      <c r="B106" s="49" t="s">
        <v>83</v>
      </c>
      <c r="C106" s="44" t="s">
        <v>167</v>
      </c>
      <c r="D106" s="44" t="s">
        <v>46</v>
      </c>
      <c r="E106" s="44" t="s">
        <v>170</v>
      </c>
      <c r="F106" s="10" t="s">
        <v>19</v>
      </c>
      <c r="G106" s="44" t="s">
        <v>62</v>
      </c>
      <c r="H106" s="45">
        <v>3</v>
      </c>
      <c r="I106" s="46">
        <v>46147</v>
      </c>
      <c r="J106" s="46">
        <v>46149</v>
      </c>
      <c r="K106" s="47">
        <f>H106/$O$8</f>
        <v>3</v>
      </c>
      <c r="L106" s="48" t="s">
        <v>17</v>
      </c>
    </row>
    <row r="107" spans="1:12" x14ac:dyDescent="0.2">
      <c r="A107" s="44" t="s">
        <v>171</v>
      </c>
      <c r="B107" s="49" t="s">
        <v>83</v>
      </c>
      <c r="C107" s="44" t="s">
        <v>167</v>
      </c>
      <c r="D107" s="44" t="s">
        <v>46</v>
      </c>
      <c r="E107" s="44" t="s">
        <v>172</v>
      </c>
      <c r="F107" s="10" t="str" cm="1">
        <f t="array" ref="F107">_xlfn.IFS(H107="","", H107&lt;=2,"Low", H107&lt;=5,"Mid", H107&lt;=8,"High", TRUE,"Out of Range")</f>
        <v>Mid</v>
      </c>
      <c r="G107" s="44" t="s">
        <v>85</v>
      </c>
      <c r="H107" s="45">
        <v>5</v>
      </c>
      <c r="I107" s="46">
        <v>46147</v>
      </c>
      <c r="J107" s="46">
        <v>46153</v>
      </c>
      <c r="K107" s="47">
        <f>H107/$O$7</f>
        <v>5</v>
      </c>
      <c r="L107" s="48" t="s">
        <v>17</v>
      </c>
    </row>
    <row r="108" spans="1:12" x14ac:dyDescent="0.2">
      <c r="A108" s="44" t="s">
        <v>171</v>
      </c>
      <c r="B108" s="49" t="s">
        <v>83</v>
      </c>
      <c r="C108" s="44" t="s">
        <v>167</v>
      </c>
      <c r="D108" s="44" t="s">
        <v>50</v>
      </c>
      <c r="E108" s="44" t="s">
        <v>173</v>
      </c>
      <c r="F108" s="10" t="str" cm="1">
        <f t="array" ref="F108">_xlfn.IFS(H108="","", H108&lt;=2,"Low", H108&lt;=5,"Mid", H108&lt;=8,"High", TRUE,"Out of Range")</f>
        <v>Low</v>
      </c>
      <c r="G108" s="44" t="s">
        <v>43</v>
      </c>
      <c r="H108" s="45">
        <v>1</v>
      </c>
      <c r="I108" s="46">
        <v>46154</v>
      </c>
      <c r="J108" s="46">
        <v>46154</v>
      </c>
      <c r="K108" s="47">
        <f>H108/$O$5</f>
        <v>1</v>
      </c>
      <c r="L108" s="48" t="s">
        <v>17</v>
      </c>
    </row>
    <row r="109" spans="1:12" x14ac:dyDescent="0.2">
      <c r="A109" s="44" t="s">
        <v>148</v>
      </c>
      <c r="B109" s="49" t="s">
        <v>83</v>
      </c>
      <c r="C109" s="44" t="s">
        <v>174</v>
      </c>
      <c r="D109" s="44" t="s">
        <v>41</v>
      </c>
      <c r="E109" s="44" t="s">
        <v>175</v>
      </c>
      <c r="F109" s="10" t="str" cm="1">
        <f t="array" ref="F109">_xlfn.IFS(H109="","", H109&lt;=2,"Low", H109&lt;=5,"Mid", H109&lt;=8,"High", TRUE,"Out of Range")</f>
        <v>Low</v>
      </c>
      <c r="G109" s="44" t="s">
        <v>43</v>
      </c>
      <c r="H109" s="45">
        <v>1</v>
      </c>
      <c r="I109" s="46">
        <v>46148</v>
      </c>
      <c r="J109" s="46">
        <v>46148</v>
      </c>
      <c r="K109" s="47">
        <f>H109/$O$5</f>
        <v>1</v>
      </c>
      <c r="L109" s="48" t="s">
        <v>17</v>
      </c>
    </row>
    <row r="110" spans="1:12" x14ac:dyDescent="0.2">
      <c r="A110" s="44" t="s">
        <v>148</v>
      </c>
      <c r="B110" s="49" t="s">
        <v>83</v>
      </c>
      <c r="C110" s="44" t="s">
        <v>174</v>
      </c>
      <c r="D110" s="44" t="s">
        <v>41</v>
      </c>
      <c r="E110" s="44" t="s">
        <v>176</v>
      </c>
      <c r="F110" s="10" t="str" cm="1">
        <f t="array" ref="F110">_xlfn.IFS(H110="","", H110&lt;=2,"Low", H110&lt;=5,"Mid", H110&lt;=8,"High", TRUE,"Out of Range")</f>
        <v>Low</v>
      </c>
      <c r="G110" s="44" t="s">
        <v>43</v>
      </c>
      <c r="H110" s="45">
        <v>2</v>
      </c>
      <c r="I110" s="46">
        <v>46149</v>
      </c>
      <c r="J110" s="46">
        <v>46150</v>
      </c>
      <c r="K110" s="47">
        <f>H110/$O$5</f>
        <v>2</v>
      </c>
      <c r="L110" s="48" t="s">
        <v>17</v>
      </c>
    </row>
    <row r="111" spans="1:12" x14ac:dyDescent="0.2">
      <c r="A111" s="44" t="s">
        <v>148</v>
      </c>
      <c r="B111" s="49" t="s">
        <v>83</v>
      </c>
      <c r="C111" s="44" t="s">
        <v>174</v>
      </c>
      <c r="D111" s="44" t="s">
        <v>46</v>
      </c>
      <c r="E111" s="44" t="s">
        <v>177</v>
      </c>
      <c r="F111" s="10" t="str" cm="1">
        <f t="array" ref="F111">_xlfn.IFS(H111="","", H111&lt;=2,"Low", H111&lt;=5,"Mid", H111&lt;=8,"High", TRUE,"Out of Range")</f>
        <v>Low</v>
      </c>
      <c r="G111" s="44" t="s">
        <v>62</v>
      </c>
      <c r="H111" s="45">
        <v>2</v>
      </c>
      <c r="I111" s="46">
        <v>46153</v>
      </c>
      <c r="J111" s="46">
        <v>46154</v>
      </c>
      <c r="K111" s="47">
        <f>H111/$O$8</f>
        <v>2</v>
      </c>
      <c r="L111" s="48" t="s">
        <v>17</v>
      </c>
    </row>
    <row r="112" spans="1:12" x14ac:dyDescent="0.2">
      <c r="A112" s="44" t="s">
        <v>150</v>
      </c>
      <c r="B112" s="49" t="s">
        <v>83</v>
      </c>
      <c r="C112" s="44" t="s">
        <v>174</v>
      </c>
      <c r="D112" s="44" t="s">
        <v>46</v>
      </c>
      <c r="E112" s="44" t="s">
        <v>178</v>
      </c>
      <c r="F112" s="10" t="str" cm="1">
        <f t="array" ref="F112">_xlfn.IFS(H112="","", H112&lt;=2,"Low", H112&lt;=5,"Mid", H112&lt;=8,"High", TRUE,"Out of Range")</f>
        <v>Mid</v>
      </c>
      <c r="G112" s="44" t="s">
        <v>13</v>
      </c>
      <c r="H112" s="45">
        <v>3</v>
      </c>
      <c r="I112" s="46">
        <v>46154</v>
      </c>
      <c r="J112" s="46">
        <v>46156</v>
      </c>
      <c r="K112" s="47">
        <f>H112/$O$5</f>
        <v>3</v>
      </c>
      <c r="L112" s="48" t="s">
        <v>17</v>
      </c>
    </row>
    <row r="113" spans="1:12" x14ac:dyDescent="0.2">
      <c r="A113" s="44" t="s">
        <v>150</v>
      </c>
      <c r="B113" s="49" t="s">
        <v>83</v>
      </c>
      <c r="C113" s="44" t="s">
        <v>174</v>
      </c>
      <c r="D113" s="44" t="s">
        <v>50</v>
      </c>
      <c r="E113" s="44" t="s">
        <v>179</v>
      </c>
      <c r="F113" s="10" t="s">
        <v>19</v>
      </c>
      <c r="G113" s="44" t="s">
        <v>43</v>
      </c>
      <c r="H113" s="45">
        <v>1</v>
      </c>
      <c r="I113" s="46">
        <v>46157</v>
      </c>
      <c r="J113" s="46">
        <v>46157</v>
      </c>
      <c r="K113" s="47">
        <f>H113/$O$5</f>
        <v>1</v>
      </c>
      <c r="L113" s="48" t="s">
        <v>17</v>
      </c>
    </row>
    <row r="114" spans="1:12" x14ac:dyDescent="0.2">
      <c r="A114" s="44" t="s">
        <v>155</v>
      </c>
      <c r="B114" s="49" t="s">
        <v>83</v>
      </c>
      <c r="C114" s="44" t="s">
        <v>180</v>
      </c>
      <c r="D114" s="44" t="s">
        <v>41</v>
      </c>
      <c r="E114" s="44" t="s">
        <v>181</v>
      </c>
      <c r="F114" s="10" t="s">
        <v>19</v>
      </c>
      <c r="G114" s="44" t="s">
        <v>43</v>
      </c>
      <c r="H114" s="45">
        <v>1</v>
      </c>
      <c r="I114" s="46">
        <v>46153</v>
      </c>
      <c r="J114" s="46">
        <v>46153</v>
      </c>
      <c r="K114" s="47">
        <f>H114/$O$5</f>
        <v>1</v>
      </c>
      <c r="L114" s="48" t="s">
        <v>17</v>
      </c>
    </row>
    <row r="115" spans="1:12" x14ac:dyDescent="0.2">
      <c r="A115" s="44" t="s">
        <v>155</v>
      </c>
      <c r="B115" s="49" t="s">
        <v>83</v>
      </c>
      <c r="C115" s="44" t="s">
        <v>180</v>
      </c>
      <c r="D115" s="44" t="s">
        <v>41</v>
      </c>
      <c r="E115" s="44" t="s">
        <v>182</v>
      </c>
      <c r="F115" s="10" t="s">
        <v>19</v>
      </c>
      <c r="G115" s="44" t="s">
        <v>43</v>
      </c>
      <c r="H115" s="45">
        <v>1</v>
      </c>
      <c r="I115" s="46">
        <v>46155</v>
      </c>
      <c r="J115" s="46">
        <v>46155</v>
      </c>
      <c r="K115" s="47">
        <f>H115/$O$5</f>
        <v>1</v>
      </c>
      <c r="L115" s="48" t="s">
        <v>17</v>
      </c>
    </row>
    <row r="116" spans="1:12" x14ac:dyDescent="0.2">
      <c r="A116" s="44" t="s">
        <v>155</v>
      </c>
      <c r="B116" s="49" t="s">
        <v>83</v>
      </c>
      <c r="C116" s="44" t="s">
        <v>180</v>
      </c>
      <c r="D116" s="44" t="s">
        <v>46</v>
      </c>
      <c r="E116" s="44" t="s">
        <v>183</v>
      </c>
      <c r="F116" s="10" t="s">
        <v>25</v>
      </c>
      <c r="G116" s="44" t="s">
        <v>62</v>
      </c>
      <c r="H116" s="45">
        <v>2</v>
      </c>
      <c r="I116" s="46">
        <v>46156</v>
      </c>
      <c r="J116" s="46">
        <v>46157</v>
      </c>
      <c r="K116" s="47">
        <f>H116/$O$8</f>
        <v>2</v>
      </c>
      <c r="L116" s="48" t="s">
        <v>17</v>
      </c>
    </row>
    <row r="117" spans="1:12" x14ac:dyDescent="0.2">
      <c r="A117" s="44" t="s">
        <v>155</v>
      </c>
      <c r="B117" s="49" t="s">
        <v>83</v>
      </c>
      <c r="C117" s="44" t="s">
        <v>180</v>
      </c>
      <c r="D117" s="44" t="s">
        <v>46</v>
      </c>
      <c r="E117" s="44" t="s">
        <v>184</v>
      </c>
      <c r="F117" s="10" t="s">
        <v>15</v>
      </c>
      <c r="G117" s="44" t="s">
        <v>13</v>
      </c>
      <c r="H117" s="45">
        <v>2</v>
      </c>
      <c r="I117" s="46">
        <v>46157</v>
      </c>
      <c r="J117" s="46">
        <v>46160</v>
      </c>
      <c r="K117" s="47">
        <f>H117/$O$5</f>
        <v>2</v>
      </c>
      <c r="L117" s="48" t="s">
        <v>17</v>
      </c>
    </row>
    <row r="118" spans="1:12" x14ac:dyDescent="0.2">
      <c r="A118" s="44" t="s">
        <v>158</v>
      </c>
      <c r="B118" s="49" t="s">
        <v>83</v>
      </c>
      <c r="C118" s="44" t="s">
        <v>180</v>
      </c>
      <c r="D118" s="44" t="s">
        <v>50</v>
      </c>
      <c r="E118" s="44" t="s">
        <v>185</v>
      </c>
      <c r="F118" s="10" t="s">
        <v>19</v>
      </c>
      <c r="G118" s="44" t="s">
        <v>43</v>
      </c>
      <c r="H118" s="45">
        <v>1</v>
      </c>
      <c r="I118" s="46">
        <v>46161</v>
      </c>
      <c r="J118" s="46">
        <v>46161</v>
      </c>
      <c r="K118" s="47">
        <f>H118/$O$5</f>
        <v>1</v>
      </c>
      <c r="L118" s="48" t="s">
        <v>17</v>
      </c>
    </row>
    <row r="119" spans="1:12" x14ac:dyDescent="0.2">
      <c r="A119" s="44" t="s">
        <v>158</v>
      </c>
      <c r="B119" s="49" t="s">
        <v>83</v>
      </c>
      <c r="C119" s="44" t="s">
        <v>186</v>
      </c>
      <c r="D119" s="44" t="s">
        <v>41</v>
      </c>
      <c r="E119" s="44" t="s">
        <v>187</v>
      </c>
      <c r="F119" s="10" t="str" cm="1">
        <f t="array" ref="F119">_xlfn.IFS(H119="","", H119&lt;=2,"Low", H119&lt;=5,"Mid", H119&lt;=8,"High", TRUE,"Out of Range")</f>
        <v>Low</v>
      </c>
      <c r="G119" s="44" t="s">
        <v>43</v>
      </c>
      <c r="H119" s="45">
        <v>1</v>
      </c>
      <c r="I119" s="46">
        <v>46160</v>
      </c>
      <c r="J119" s="46">
        <v>46160</v>
      </c>
      <c r="K119" s="47">
        <f>H119/$O$5</f>
        <v>1</v>
      </c>
      <c r="L119" s="48" t="s">
        <v>17</v>
      </c>
    </row>
    <row r="120" spans="1:12" x14ac:dyDescent="0.2">
      <c r="A120" s="44" t="s">
        <v>158</v>
      </c>
      <c r="B120" s="49" t="s">
        <v>83</v>
      </c>
      <c r="C120" s="44" t="s">
        <v>186</v>
      </c>
      <c r="D120" s="44" t="s">
        <v>41</v>
      </c>
      <c r="E120" s="44" t="s">
        <v>188</v>
      </c>
      <c r="F120" s="10" t="str" cm="1">
        <f t="array" ref="F120">_xlfn.IFS(H120="","", H120&lt;=2,"Low", H120&lt;=5,"Mid", H120&lt;=8,"High", TRUE,"Out of Range")</f>
        <v>Low</v>
      </c>
      <c r="G120" s="44" t="s">
        <v>43</v>
      </c>
      <c r="H120" s="45">
        <v>2</v>
      </c>
      <c r="I120" s="46">
        <v>46162</v>
      </c>
      <c r="J120" s="46">
        <v>46163</v>
      </c>
      <c r="K120" s="47">
        <f>H120/$O$5</f>
        <v>2</v>
      </c>
      <c r="L120" s="48" t="s">
        <v>17</v>
      </c>
    </row>
    <row r="121" spans="1:12" x14ac:dyDescent="0.2">
      <c r="A121" s="44" t="s">
        <v>158</v>
      </c>
      <c r="B121" s="49" t="s">
        <v>83</v>
      </c>
      <c r="C121" s="44" t="s">
        <v>186</v>
      </c>
      <c r="D121" s="44" t="s">
        <v>46</v>
      </c>
      <c r="E121" s="44" t="s">
        <v>189</v>
      </c>
      <c r="F121" s="10" t="str" cm="1">
        <f t="array" ref="F121">_xlfn.IFS(H121="","", H121&lt;=2,"Low", H121&lt;=5,"Mid", H121&lt;=8,"High", TRUE,"Out of Range")</f>
        <v>Low</v>
      </c>
      <c r="G121" s="44" t="s">
        <v>62</v>
      </c>
      <c r="H121" s="45">
        <v>1</v>
      </c>
      <c r="I121" s="46">
        <v>46164</v>
      </c>
      <c r="J121" s="46">
        <v>46164</v>
      </c>
      <c r="K121" s="47">
        <f>H121/$O$8</f>
        <v>1</v>
      </c>
      <c r="L121" s="48" t="s">
        <v>17</v>
      </c>
    </row>
    <row r="122" spans="1:12" x14ac:dyDescent="0.2">
      <c r="A122" s="44" t="s">
        <v>158</v>
      </c>
      <c r="B122" s="49" t="s">
        <v>83</v>
      </c>
      <c r="C122" s="44" t="s">
        <v>186</v>
      </c>
      <c r="D122" s="44" t="s">
        <v>46</v>
      </c>
      <c r="E122" s="44" t="s">
        <v>190</v>
      </c>
      <c r="F122" s="10" t="str" cm="1">
        <f t="array" ref="F122">_xlfn.IFS(H122="","", H122&lt;=2,"Low", H122&lt;=5,"Mid", H122&lt;=8,"High", TRUE,"Out of Range")</f>
        <v>Low</v>
      </c>
      <c r="G122" s="44" t="s">
        <v>13</v>
      </c>
      <c r="H122" s="45">
        <v>2</v>
      </c>
      <c r="I122" s="46">
        <v>46164</v>
      </c>
      <c r="J122" s="46">
        <v>46167</v>
      </c>
      <c r="K122" s="47">
        <f>H122/$O$5</f>
        <v>2</v>
      </c>
      <c r="L122" s="48" t="s">
        <v>17</v>
      </c>
    </row>
    <row r="123" spans="1:12" x14ac:dyDescent="0.2">
      <c r="A123" s="44" t="s">
        <v>163</v>
      </c>
      <c r="B123" s="49" t="s">
        <v>83</v>
      </c>
      <c r="C123" s="44" t="s">
        <v>186</v>
      </c>
      <c r="D123" s="44" t="s">
        <v>50</v>
      </c>
      <c r="E123" s="44" t="s">
        <v>191</v>
      </c>
      <c r="F123" s="10" t="str" cm="1">
        <f t="array" ref="F123">_xlfn.IFS(H123="","", H123&lt;=2,"Low", H123&lt;=5,"Mid", H123&lt;=8,"High", TRUE,"Out of Range")</f>
        <v>Low</v>
      </c>
      <c r="G123" s="44" t="s">
        <v>43</v>
      </c>
      <c r="H123" s="45">
        <v>1</v>
      </c>
      <c r="I123" s="46">
        <v>46168</v>
      </c>
      <c r="J123" s="46">
        <v>46168</v>
      </c>
      <c r="K123" s="47">
        <f>H123/$O$5</f>
        <v>1</v>
      </c>
      <c r="L123" s="48" t="s">
        <v>17</v>
      </c>
    </row>
    <row r="124" spans="1:12" x14ac:dyDescent="0.2">
      <c r="A124" s="44" t="s">
        <v>163</v>
      </c>
      <c r="B124" s="49" t="s">
        <v>83</v>
      </c>
      <c r="C124" s="44" t="s">
        <v>192</v>
      </c>
      <c r="D124" s="44" t="s">
        <v>41</v>
      </c>
      <c r="E124" s="44" t="s">
        <v>193</v>
      </c>
      <c r="F124" s="10" t="str" cm="1">
        <f t="array" ref="F124">_xlfn.IFS(H124="","", H124&lt;=2,"Low", H124&lt;=5,"Mid", H124&lt;=8,"High", TRUE,"Out of Range")</f>
        <v>Low</v>
      </c>
      <c r="G124" s="44" t="s">
        <v>43</v>
      </c>
      <c r="H124" s="45">
        <v>2</v>
      </c>
      <c r="I124" s="46">
        <v>46164</v>
      </c>
      <c r="J124" s="46">
        <v>46167</v>
      </c>
      <c r="K124" s="47">
        <f>H124/$O$5</f>
        <v>2</v>
      </c>
      <c r="L124" s="48" t="s">
        <v>17</v>
      </c>
    </row>
    <row r="125" spans="1:12" x14ac:dyDescent="0.2">
      <c r="A125" s="44" t="s">
        <v>163</v>
      </c>
      <c r="B125" s="49" t="s">
        <v>83</v>
      </c>
      <c r="C125" s="44" t="s">
        <v>192</v>
      </c>
      <c r="D125" s="44" t="s">
        <v>41</v>
      </c>
      <c r="E125" s="44" t="s">
        <v>194</v>
      </c>
      <c r="F125" s="10" t="s">
        <v>19</v>
      </c>
      <c r="G125" s="44" t="s">
        <v>43</v>
      </c>
      <c r="H125" s="45">
        <v>2</v>
      </c>
      <c r="I125" s="46">
        <v>46169</v>
      </c>
      <c r="J125" s="46">
        <v>46170</v>
      </c>
      <c r="K125" s="47">
        <f>H125/$O$5</f>
        <v>2</v>
      </c>
      <c r="L125" s="48" t="s">
        <v>17</v>
      </c>
    </row>
    <row r="126" spans="1:12" x14ac:dyDescent="0.2">
      <c r="A126" s="44" t="s">
        <v>163</v>
      </c>
      <c r="B126" s="49" t="s">
        <v>83</v>
      </c>
      <c r="C126" s="44" t="s">
        <v>192</v>
      </c>
      <c r="D126" s="44" t="s">
        <v>46</v>
      </c>
      <c r="E126" s="44" t="s">
        <v>195</v>
      </c>
      <c r="F126" s="10" t="s">
        <v>19</v>
      </c>
      <c r="G126" s="44" t="s">
        <v>62</v>
      </c>
      <c r="H126" s="45">
        <v>2</v>
      </c>
      <c r="I126" s="46">
        <v>46171</v>
      </c>
      <c r="J126" s="46">
        <v>46174</v>
      </c>
      <c r="K126" s="47">
        <f>H126/$O$8</f>
        <v>2</v>
      </c>
      <c r="L126" s="48" t="s">
        <v>17</v>
      </c>
    </row>
    <row r="127" spans="1:12" x14ac:dyDescent="0.2">
      <c r="A127" s="44" t="s">
        <v>163</v>
      </c>
      <c r="B127" s="49" t="s">
        <v>83</v>
      </c>
      <c r="C127" s="44" t="s">
        <v>192</v>
      </c>
      <c r="D127" s="44" t="s">
        <v>46</v>
      </c>
      <c r="E127" s="44" t="s">
        <v>196</v>
      </c>
      <c r="F127" s="10" t="s">
        <v>19</v>
      </c>
      <c r="G127" s="44" t="s">
        <v>13</v>
      </c>
      <c r="H127" s="45">
        <v>2</v>
      </c>
      <c r="I127" s="46">
        <v>46171</v>
      </c>
      <c r="J127" s="46">
        <v>46174</v>
      </c>
      <c r="K127" s="47">
        <f>H127/$O$5</f>
        <v>2</v>
      </c>
      <c r="L127" s="48" t="s">
        <v>17</v>
      </c>
    </row>
    <row r="128" spans="1:12" x14ac:dyDescent="0.2">
      <c r="A128" s="44" t="s">
        <v>165</v>
      </c>
      <c r="B128" s="49" t="s">
        <v>83</v>
      </c>
      <c r="C128" s="44" t="s">
        <v>192</v>
      </c>
      <c r="D128" s="44" t="s">
        <v>50</v>
      </c>
      <c r="E128" s="44" t="s">
        <v>197</v>
      </c>
      <c r="F128" s="10" t="s">
        <v>25</v>
      </c>
      <c r="G128" s="44" t="s">
        <v>43</v>
      </c>
      <c r="H128" s="45">
        <v>1</v>
      </c>
      <c r="I128" s="46">
        <v>46175</v>
      </c>
      <c r="J128" s="46">
        <v>46175</v>
      </c>
      <c r="K128" s="47">
        <f>H128/$O$5</f>
        <v>1</v>
      </c>
      <c r="L128" s="48" t="s">
        <v>17</v>
      </c>
    </row>
    <row r="129" spans="1:12" x14ac:dyDescent="0.2">
      <c r="A129" s="44" t="s">
        <v>165</v>
      </c>
      <c r="B129" s="49" t="s">
        <v>83</v>
      </c>
      <c r="C129" s="55" t="s">
        <v>198</v>
      </c>
      <c r="D129" s="44" t="s">
        <v>41</v>
      </c>
      <c r="E129" s="44" t="s">
        <v>199</v>
      </c>
      <c r="F129" s="10" t="s">
        <v>15</v>
      </c>
      <c r="G129" s="44" t="s">
        <v>43</v>
      </c>
      <c r="H129" s="45">
        <v>1</v>
      </c>
      <c r="I129" s="46">
        <v>46171</v>
      </c>
      <c r="J129" s="46">
        <v>46171</v>
      </c>
      <c r="K129" s="47">
        <f>H129/$O$5</f>
        <v>1</v>
      </c>
      <c r="L129" s="48" t="s">
        <v>17</v>
      </c>
    </row>
    <row r="130" spans="1:12" x14ac:dyDescent="0.2">
      <c r="A130" s="44" t="s">
        <v>165</v>
      </c>
      <c r="B130" s="49" t="s">
        <v>83</v>
      </c>
      <c r="C130" s="55" t="s">
        <v>198</v>
      </c>
      <c r="D130" s="44" t="s">
        <v>41</v>
      </c>
      <c r="E130" s="44" t="s">
        <v>200</v>
      </c>
      <c r="F130" s="10" t="s">
        <v>19</v>
      </c>
      <c r="G130" s="44" t="s">
        <v>43</v>
      </c>
      <c r="H130" s="45">
        <v>1</v>
      </c>
      <c r="I130" s="46">
        <v>46174</v>
      </c>
      <c r="J130" s="46">
        <v>46174</v>
      </c>
      <c r="K130" s="47">
        <f>H130/$O$5</f>
        <v>1</v>
      </c>
      <c r="L130" s="48" t="s">
        <v>17</v>
      </c>
    </row>
    <row r="131" spans="1:12" x14ac:dyDescent="0.2">
      <c r="A131" s="44" t="s">
        <v>165</v>
      </c>
      <c r="B131" s="49" t="s">
        <v>83</v>
      </c>
      <c r="C131" s="55" t="s">
        <v>198</v>
      </c>
      <c r="D131" s="44" t="s">
        <v>46</v>
      </c>
      <c r="E131" s="44" t="s">
        <v>201</v>
      </c>
      <c r="F131" s="10" t="str" cm="1">
        <f t="array" ref="F131">_xlfn.IFS(H131="","", H131&lt;=2,"Low", H131&lt;=5,"Mid", H131&lt;=8,"High", TRUE,"Out of Range")</f>
        <v>Low</v>
      </c>
      <c r="G131" s="44" t="s">
        <v>62</v>
      </c>
      <c r="H131" s="45">
        <v>1</v>
      </c>
      <c r="I131" s="46">
        <v>46175</v>
      </c>
      <c r="J131" s="46">
        <v>46175</v>
      </c>
      <c r="K131" s="47">
        <f>H131/$O$8</f>
        <v>1</v>
      </c>
      <c r="L131" s="48" t="s">
        <v>17</v>
      </c>
    </row>
    <row r="132" spans="1:12" x14ac:dyDescent="0.2">
      <c r="A132" s="44" t="s">
        <v>171</v>
      </c>
      <c r="B132" s="49" t="s">
        <v>83</v>
      </c>
      <c r="C132" s="55" t="s">
        <v>198</v>
      </c>
      <c r="D132" s="44" t="s">
        <v>46</v>
      </c>
      <c r="E132" s="44" t="s">
        <v>202</v>
      </c>
      <c r="F132" s="10" t="str" cm="1">
        <f t="array" ref="F132">_xlfn.IFS(H132="","", H132&lt;=2,"Low", H132&lt;=5,"Mid", H132&lt;=8,"High", TRUE,"Out of Range")</f>
        <v>Low</v>
      </c>
      <c r="G132" s="44" t="s">
        <v>13</v>
      </c>
      <c r="H132" s="45">
        <v>2</v>
      </c>
      <c r="I132" s="46">
        <v>46175</v>
      </c>
      <c r="J132" s="46">
        <v>46176</v>
      </c>
      <c r="K132" s="47">
        <f>H132/$O$5</f>
        <v>2</v>
      </c>
      <c r="L132" s="48" t="s">
        <v>17</v>
      </c>
    </row>
    <row r="133" spans="1:12" x14ac:dyDescent="0.2">
      <c r="A133" s="44" t="s">
        <v>171</v>
      </c>
      <c r="B133" s="49" t="s">
        <v>83</v>
      </c>
      <c r="C133" s="55" t="s">
        <v>198</v>
      </c>
      <c r="D133" s="44" t="s">
        <v>50</v>
      </c>
      <c r="E133" s="44" t="s">
        <v>203</v>
      </c>
      <c r="F133" s="10" t="str" cm="1">
        <f t="array" ref="F133">_xlfn.IFS(H133="","", H133&lt;=2,"Low", H133&lt;=5,"Mid", H133&lt;=8,"High", TRUE,"Out of Range")</f>
        <v>Low</v>
      </c>
      <c r="G133" s="44" t="s">
        <v>43</v>
      </c>
      <c r="H133" s="45">
        <v>1</v>
      </c>
      <c r="I133" s="46">
        <v>46177</v>
      </c>
      <c r="J133" s="46">
        <v>46177</v>
      </c>
      <c r="K133" s="47">
        <f>H133/$O$5</f>
        <v>1</v>
      </c>
      <c r="L133" s="48" t="s">
        <v>17</v>
      </c>
    </row>
    <row r="134" spans="1:12" x14ac:dyDescent="0.2">
      <c r="A134" s="44" t="s">
        <v>171</v>
      </c>
      <c r="B134" s="49" t="s">
        <v>83</v>
      </c>
      <c r="C134" s="55" t="s">
        <v>204</v>
      </c>
      <c r="D134" s="44" t="s">
        <v>41</v>
      </c>
      <c r="E134" s="44" t="s">
        <v>205</v>
      </c>
      <c r="F134" s="10" t="str" cm="1">
        <f t="array" ref="F134">_xlfn.IFS(H134="","", H134&lt;=2,"Low", H134&lt;=5,"Mid", H134&lt;=8,"High", TRUE,"Out of Range")</f>
        <v>Low</v>
      </c>
      <c r="G134" s="44" t="s">
        <v>43</v>
      </c>
      <c r="H134" s="45">
        <v>1</v>
      </c>
      <c r="I134" s="46">
        <v>46176</v>
      </c>
      <c r="J134" s="46">
        <v>46176</v>
      </c>
      <c r="K134" s="47">
        <f>H134/$O$5</f>
        <v>1</v>
      </c>
      <c r="L134" s="48" t="s">
        <v>17</v>
      </c>
    </row>
    <row r="135" spans="1:12" x14ac:dyDescent="0.2">
      <c r="A135" s="44" t="s">
        <v>171</v>
      </c>
      <c r="B135" s="49" t="s">
        <v>83</v>
      </c>
      <c r="C135" s="55" t="s">
        <v>204</v>
      </c>
      <c r="D135" s="44" t="s">
        <v>41</v>
      </c>
      <c r="E135" s="44" t="s">
        <v>206</v>
      </c>
      <c r="F135" s="10" t="str" cm="1">
        <f t="array" ref="F135">_xlfn.IFS(H135="","", H135&lt;=2,"Low", H135&lt;=5,"Mid", H135&lt;=8,"High", TRUE,"Out of Range")</f>
        <v>Low</v>
      </c>
      <c r="G135" s="44" t="s">
        <v>43</v>
      </c>
      <c r="H135" s="45">
        <v>1</v>
      </c>
      <c r="I135" s="46">
        <v>46178</v>
      </c>
      <c r="J135" s="46">
        <v>46178</v>
      </c>
      <c r="K135" s="47">
        <f>H135/$O$5</f>
        <v>1</v>
      </c>
      <c r="L135" s="48" t="s">
        <v>17</v>
      </c>
    </row>
    <row r="136" spans="1:12" x14ac:dyDescent="0.2">
      <c r="A136" s="44" t="s">
        <v>207</v>
      </c>
      <c r="B136" s="49" t="s">
        <v>83</v>
      </c>
      <c r="C136" s="55" t="s">
        <v>204</v>
      </c>
      <c r="D136" s="44" t="s">
        <v>46</v>
      </c>
      <c r="E136" s="44" t="s">
        <v>208</v>
      </c>
      <c r="F136" s="10" t="str" cm="1">
        <f t="array" ref="F136">_xlfn.IFS(H136="","", H136&lt;=2,"Low", H136&lt;=5,"Mid", H136&lt;=8,"High", TRUE,"Out of Range")</f>
        <v>Low</v>
      </c>
      <c r="G136" s="44" t="s">
        <v>62</v>
      </c>
      <c r="H136" s="45">
        <v>1</v>
      </c>
      <c r="I136" s="46">
        <v>46181</v>
      </c>
      <c r="J136" s="46">
        <v>46181</v>
      </c>
      <c r="K136" s="47">
        <f>H136/$O$8</f>
        <v>1</v>
      </c>
      <c r="L136" s="48" t="s">
        <v>17</v>
      </c>
    </row>
    <row r="137" spans="1:12" x14ac:dyDescent="0.2">
      <c r="A137" s="44" t="s">
        <v>207</v>
      </c>
      <c r="B137" s="49" t="s">
        <v>83</v>
      </c>
      <c r="C137" s="55" t="s">
        <v>204</v>
      </c>
      <c r="D137" s="44" t="s">
        <v>46</v>
      </c>
      <c r="E137" s="44" t="s">
        <v>209</v>
      </c>
      <c r="F137" s="10" t="s">
        <v>19</v>
      </c>
      <c r="G137" s="44" t="s">
        <v>13</v>
      </c>
      <c r="H137" s="45">
        <v>2</v>
      </c>
      <c r="I137" s="46">
        <v>46181</v>
      </c>
      <c r="J137" s="46">
        <v>46182</v>
      </c>
      <c r="K137" s="47">
        <f>H137/$O$5</f>
        <v>2</v>
      </c>
      <c r="L137" s="48" t="s">
        <v>17</v>
      </c>
    </row>
    <row r="138" spans="1:12" x14ac:dyDescent="0.2">
      <c r="A138" s="44" t="s">
        <v>207</v>
      </c>
      <c r="B138" s="49" t="s">
        <v>83</v>
      </c>
      <c r="C138" s="55" t="s">
        <v>204</v>
      </c>
      <c r="D138" s="44" t="s">
        <v>50</v>
      </c>
      <c r="E138" s="44" t="s">
        <v>210</v>
      </c>
      <c r="F138" s="10" t="s">
        <v>19</v>
      </c>
      <c r="G138" s="44" t="s">
        <v>43</v>
      </c>
      <c r="H138" s="45">
        <v>1</v>
      </c>
      <c r="I138" s="46">
        <v>46183</v>
      </c>
      <c r="J138" s="46">
        <v>46183</v>
      </c>
      <c r="K138" s="47">
        <f>H138/$O$5</f>
        <v>1</v>
      </c>
      <c r="L138" s="48" t="s">
        <v>17</v>
      </c>
    </row>
    <row r="139" spans="1:12" x14ac:dyDescent="0.2">
      <c r="A139" s="44" t="s">
        <v>207</v>
      </c>
      <c r="B139" s="49" t="s">
        <v>83</v>
      </c>
      <c r="C139" s="55" t="s">
        <v>211</v>
      </c>
      <c r="D139" s="44" t="s">
        <v>41</v>
      </c>
      <c r="E139" s="44" t="s">
        <v>212</v>
      </c>
      <c r="F139" s="10" t="s">
        <v>19</v>
      </c>
      <c r="G139" s="44" t="s">
        <v>43</v>
      </c>
      <c r="H139" s="45">
        <v>1</v>
      </c>
      <c r="I139" s="46">
        <v>46181</v>
      </c>
      <c r="J139" s="46">
        <v>46181</v>
      </c>
      <c r="K139" s="47">
        <f>H139/$O$5</f>
        <v>1</v>
      </c>
      <c r="L139" s="48" t="s">
        <v>17</v>
      </c>
    </row>
    <row r="140" spans="1:12" x14ac:dyDescent="0.2">
      <c r="A140" s="44" t="s">
        <v>207</v>
      </c>
      <c r="B140" s="49" t="s">
        <v>83</v>
      </c>
      <c r="C140" s="55" t="s">
        <v>211</v>
      </c>
      <c r="D140" s="44" t="s">
        <v>41</v>
      </c>
      <c r="E140" s="44" t="s">
        <v>213</v>
      </c>
      <c r="F140" s="10" t="s">
        <v>25</v>
      </c>
      <c r="G140" s="44" t="s">
        <v>43</v>
      </c>
      <c r="H140" s="45">
        <v>1</v>
      </c>
      <c r="I140" s="46">
        <v>46182</v>
      </c>
      <c r="J140" s="46">
        <v>46182</v>
      </c>
      <c r="K140" s="47">
        <f>H140/$O$5</f>
        <v>1</v>
      </c>
      <c r="L140" s="48" t="s">
        <v>17</v>
      </c>
    </row>
    <row r="141" spans="1:12" x14ac:dyDescent="0.2">
      <c r="A141" s="44" t="s">
        <v>214</v>
      </c>
      <c r="B141" s="49" t="s">
        <v>83</v>
      </c>
      <c r="C141" s="55" t="s">
        <v>211</v>
      </c>
      <c r="D141" s="44" t="s">
        <v>46</v>
      </c>
      <c r="E141" s="44" t="s">
        <v>215</v>
      </c>
      <c r="F141" s="10" t="s">
        <v>15</v>
      </c>
      <c r="G141" s="44" t="s">
        <v>62</v>
      </c>
      <c r="H141" s="45">
        <v>1</v>
      </c>
      <c r="I141" s="46">
        <v>46183</v>
      </c>
      <c r="J141" s="46">
        <v>46183</v>
      </c>
      <c r="K141" s="47">
        <f>H141/$O$8</f>
        <v>1</v>
      </c>
      <c r="L141" s="48" t="s">
        <v>17</v>
      </c>
    </row>
    <row r="142" spans="1:12" x14ac:dyDescent="0.2">
      <c r="A142" s="44" t="s">
        <v>214</v>
      </c>
      <c r="B142" s="49" t="s">
        <v>83</v>
      </c>
      <c r="C142" s="55" t="s">
        <v>211</v>
      </c>
      <c r="D142" s="44" t="s">
        <v>46</v>
      </c>
      <c r="E142" s="44" t="s">
        <v>216</v>
      </c>
      <c r="F142" s="10" t="s">
        <v>19</v>
      </c>
      <c r="G142" s="44" t="s">
        <v>13</v>
      </c>
      <c r="H142" s="45">
        <v>2</v>
      </c>
      <c r="I142" s="46">
        <v>46183</v>
      </c>
      <c r="J142" s="46">
        <v>46184</v>
      </c>
      <c r="K142" s="47">
        <f>H142/$O$5</f>
        <v>2</v>
      </c>
      <c r="L142" s="48" t="s">
        <v>17</v>
      </c>
    </row>
    <row r="143" spans="1:12" x14ac:dyDescent="0.2">
      <c r="A143" s="44" t="s">
        <v>214</v>
      </c>
      <c r="B143" s="49" t="s">
        <v>83</v>
      </c>
      <c r="C143" s="55" t="s">
        <v>211</v>
      </c>
      <c r="D143" s="44" t="s">
        <v>50</v>
      </c>
      <c r="E143" s="44" t="s">
        <v>217</v>
      </c>
      <c r="F143" s="10" t="str" cm="1">
        <f t="array" ref="F143">_xlfn.IFS(H143="","", H143&lt;=2,"Low", H143&lt;=5,"Mid", H143&lt;=8,"High", TRUE,"Out of Range")</f>
        <v>Low</v>
      </c>
      <c r="G143" s="44" t="s">
        <v>43</v>
      </c>
      <c r="H143" s="45">
        <v>1</v>
      </c>
      <c r="I143" s="46">
        <v>46185</v>
      </c>
      <c r="J143" s="46">
        <v>46185</v>
      </c>
      <c r="K143" s="47">
        <f>H143/$O$5</f>
        <v>1</v>
      </c>
      <c r="L143" s="48" t="s">
        <v>17</v>
      </c>
    </row>
    <row r="144" spans="1:12" x14ac:dyDescent="0.2">
      <c r="A144" s="44" t="s">
        <v>99</v>
      </c>
      <c r="B144" s="49" t="s">
        <v>83</v>
      </c>
      <c r="C144" s="55" t="s">
        <v>218</v>
      </c>
      <c r="D144" s="44" t="s">
        <v>41</v>
      </c>
      <c r="E144" s="44" t="s">
        <v>219</v>
      </c>
      <c r="F144" s="10" t="str" cm="1">
        <f t="array" ref="F144">_xlfn.IFS(H144="","", H144&lt;=2,"Low", H144&lt;=5,"Mid", H144&lt;=8,"High", TRUE,"Out of Range")</f>
        <v>Low</v>
      </c>
      <c r="G144" s="44" t="s">
        <v>43</v>
      </c>
      <c r="H144" s="45">
        <v>1</v>
      </c>
      <c r="I144" s="46">
        <v>46184</v>
      </c>
      <c r="J144" s="46">
        <v>46184</v>
      </c>
      <c r="K144" s="47">
        <f>H144/$O$7</f>
        <v>1</v>
      </c>
      <c r="L144" s="48" t="s">
        <v>17</v>
      </c>
    </row>
    <row r="145" spans="1:12" x14ac:dyDescent="0.2">
      <c r="A145" s="44" t="s">
        <v>99</v>
      </c>
      <c r="B145" s="49" t="s">
        <v>83</v>
      </c>
      <c r="C145" s="55" t="s">
        <v>218</v>
      </c>
      <c r="D145" s="44" t="s">
        <v>41</v>
      </c>
      <c r="E145" s="44" t="s">
        <v>220</v>
      </c>
      <c r="F145" s="10" t="str" cm="1">
        <f t="array" ref="F145">_xlfn.IFS(H145="","", H145&lt;=2,"Low", H145&lt;=5,"Mid", H145&lt;=8,"High", TRUE,"Out of Range")</f>
        <v>Low</v>
      </c>
      <c r="G145" s="44" t="s">
        <v>43</v>
      </c>
      <c r="H145" s="45">
        <v>1</v>
      </c>
      <c r="I145" s="46">
        <v>46188</v>
      </c>
      <c r="J145" s="46">
        <v>46188</v>
      </c>
      <c r="K145" s="47">
        <f>H145/$O$7</f>
        <v>1</v>
      </c>
      <c r="L145" s="48" t="s">
        <v>17</v>
      </c>
    </row>
    <row r="146" spans="1:12" x14ac:dyDescent="0.2">
      <c r="A146" s="44" t="s">
        <v>106</v>
      </c>
      <c r="B146" s="49" t="s">
        <v>83</v>
      </c>
      <c r="C146" s="55" t="s">
        <v>218</v>
      </c>
      <c r="D146" s="44" t="s">
        <v>46</v>
      </c>
      <c r="E146" s="44" t="s">
        <v>221</v>
      </c>
      <c r="F146" s="10" t="str" cm="1">
        <f t="array" ref="F146">_xlfn.IFS(H146="","", H146&lt;=2,"Low", H146&lt;=5,"Mid", H146&lt;=8,"High", TRUE,"Out of Range")</f>
        <v>Mid</v>
      </c>
      <c r="G146" s="44" t="s">
        <v>62</v>
      </c>
      <c r="H146" s="45">
        <v>4</v>
      </c>
      <c r="I146" s="46">
        <v>46189</v>
      </c>
      <c r="J146" s="46">
        <v>46192</v>
      </c>
      <c r="K146" s="47">
        <f>H146/$O$8</f>
        <v>4</v>
      </c>
      <c r="L146" s="48" t="s">
        <v>17</v>
      </c>
    </row>
    <row r="147" spans="1:12" x14ac:dyDescent="0.2">
      <c r="A147" s="44" t="s">
        <v>106</v>
      </c>
      <c r="B147" s="49" t="s">
        <v>83</v>
      </c>
      <c r="C147" s="55" t="s">
        <v>218</v>
      </c>
      <c r="D147" s="44" t="s">
        <v>46</v>
      </c>
      <c r="E147" s="44" t="s">
        <v>222</v>
      </c>
      <c r="F147" s="10" t="str" cm="1">
        <f t="array" ref="F147">_xlfn.IFS(H147="","", H147&lt;=2,"Low", H147&lt;=5,"Mid", H147&lt;=8,"High", TRUE,"Out of Range")</f>
        <v>Mid</v>
      </c>
      <c r="G147" s="44" t="s">
        <v>85</v>
      </c>
      <c r="H147" s="45">
        <v>4</v>
      </c>
      <c r="I147" s="46">
        <v>46189</v>
      </c>
      <c r="J147" s="46">
        <v>46195</v>
      </c>
      <c r="K147" s="47">
        <f>H147/$O$7</f>
        <v>4</v>
      </c>
      <c r="L147" s="48" t="s">
        <v>17</v>
      </c>
    </row>
    <row r="148" spans="1:12" x14ac:dyDescent="0.2">
      <c r="A148" s="44" t="s">
        <v>106</v>
      </c>
      <c r="B148" s="49" t="s">
        <v>83</v>
      </c>
      <c r="C148" s="55" t="s">
        <v>218</v>
      </c>
      <c r="D148" s="44" t="s">
        <v>50</v>
      </c>
      <c r="E148" s="44" t="s">
        <v>223</v>
      </c>
      <c r="F148" s="10" t="str" cm="1">
        <f t="array" ref="F148">_xlfn.IFS(H148="","", H148&lt;=2,"Low", H148&lt;=5,"Mid", H148&lt;=8,"High", TRUE,"Out of Range")</f>
        <v>Low</v>
      </c>
      <c r="G148" s="44" t="s">
        <v>43</v>
      </c>
      <c r="H148" s="45">
        <v>2</v>
      </c>
      <c r="I148" s="46">
        <v>46196</v>
      </c>
      <c r="J148" s="46">
        <v>46197</v>
      </c>
      <c r="K148" s="47">
        <f>H148/$O$5</f>
        <v>2</v>
      </c>
      <c r="L148" s="48" t="s">
        <v>17</v>
      </c>
    </row>
    <row r="149" spans="1:12" x14ac:dyDescent="0.2">
      <c r="A149" s="44" t="s">
        <v>112</v>
      </c>
      <c r="B149" s="49" t="s">
        <v>83</v>
      </c>
      <c r="C149" s="55" t="s">
        <v>224</v>
      </c>
      <c r="D149" s="44" t="s">
        <v>41</v>
      </c>
      <c r="E149" s="44" t="s">
        <v>225</v>
      </c>
      <c r="F149" s="10" t="s">
        <v>19</v>
      </c>
      <c r="G149" s="44" t="s">
        <v>43</v>
      </c>
      <c r="H149" s="45">
        <v>2</v>
      </c>
      <c r="I149" s="46">
        <v>46189</v>
      </c>
      <c r="J149" s="46">
        <v>46191</v>
      </c>
      <c r="K149" s="47">
        <f>H149/$O$7</f>
        <v>2</v>
      </c>
      <c r="L149" s="48" t="s">
        <v>17</v>
      </c>
    </row>
    <row r="150" spans="1:12" x14ac:dyDescent="0.2">
      <c r="A150" s="44" t="s">
        <v>112</v>
      </c>
      <c r="B150" s="49" t="s">
        <v>83</v>
      </c>
      <c r="C150" s="55" t="s">
        <v>224</v>
      </c>
      <c r="D150" s="44" t="s">
        <v>41</v>
      </c>
      <c r="E150" s="44" t="s">
        <v>226</v>
      </c>
      <c r="F150" s="10" t="s">
        <v>19</v>
      </c>
      <c r="G150" s="44" t="s">
        <v>43</v>
      </c>
      <c r="H150" s="45">
        <v>2</v>
      </c>
      <c r="I150" s="46">
        <v>46198</v>
      </c>
      <c r="J150" s="46">
        <v>46199</v>
      </c>
      <c r="K150" s="47">
        <f>H150/$O$7</f>
        <v>2</v>
      </c>
      <c r="L150" s="48" t="s">
        <v>17</v>
      </c>
    </row>
    <row r="151" spans="1:12" x14ac:dyDescent="0.2">
      <c r="A151" s="44" t="s">
        <v>112</v>
      </c>
      <c r="B151" s="49" t="s">
        <v>83</v>
      </c>
      <c r="C151" s="55" t="s">
        <v>224</v>
      </c>
      <c r="D151" s="44" t="s">
        <v>46</v>
      </c>
      <c r="E151" s="44" t="s">
        <v>227</v>
      </c>
      <c r="F151" s="10" t="s">
        <v>19</v>
      </c>
      <c r="G151" s="44" t="s">
        <v>62</v>
      </c>
      <c r="H151" s="45">
        <v>3</v>
      </c>
      <c r="I151" s="46">
        <v>46202</v>
      </c>
      <c r="J151" s="46">
        <v>46204</v>
      </c>
      <c r="K151" s="47">
        <f>H151/$O$8</f>
        <v>3</v>
      </c>
      <c r="L151" s="48" t="s">
        <v>17</v>
      </c>
    </row>
    <row r="152" spans="1:12" x14ac:dyDescent="0.2">
      <c r="A152" s="44" t="s">
        <v>114</v>
      </c>
      <c r="B152" s="49" t="s">
        <v>83</v>
      </c>
      <c r="C152" s="55" t="s">
        <v>224</v>
      </c>
      <c r="D152" s="44" t="s">
        <v>46</v>
      </c>
      <c r="E152" s="44" t="s">
        <v>228</v>
      </c>
      <c r="F152" s="10" t="s">
        <v>25</v>
      </c>
      <c r="G152" s="44" t="s">
        <v>13</v>
      </c>
      <c r="H152" s="45">
        <v>5</v>
      </c>
      <c r="I152" s="46">
        <v>46202</v>
      </c>
      <c r="J152" s="46">
        <v>46206</v>
      </c>
      <c r="K152" s="47">
        <f>H152/$O$5</f>
        <v>5</v>
      </c>
      <c r="L152" s="48" t="s">
        <v>17</v>
      </c>
    </row>
    <row r="153" spans="1:12" x14ac:dyDescent="0.2">
      <c r="A153" s="44" t="s">
        <v>114</v>
      </c>
      <c r="B153" s="49" t="s">
        <v>83</v>
      </c>
      <c r="C153" s="55" t="s">
        <v>224</v>
      </c>
      <c r="D153" s="44" t="s">
        <v>50</v>
      </c>
      <c r="E153" s="44" t="s">
        <v>229</v>
      </c>
      <c r="F153" s="10" t="s">
        <v>15</v>
      </c>
      <c r="G153" s="44" t="s">
        <v>43</v>
      </c>
      <c r="H153" s="45">
        <v>2</v>
      </c>
      <c r="I153" s="46">
        <v>46209</v>
      </c>
      <c r="J153" s="46">
        <v>46210</v>
      </c>
      <c r="K153" s="47">
        <f>H153/$O$5</f>
        <v>2</v>
      </c>
      <c r="L153" s="48" t="s">
        <v>17</v>
      </c>
    </row>
    <row r="154" spans="1:12" x14ac:dyDescent="0.2">
      <c r="A154" s="44" t="s">
        <v>114</v>
      </c>
      <c r="B154" s="49" t="s">
        <v>83</v>
      </c>
      <c r="C154" s="55" t="s">
        <v>230</v>
      </c>
      <c r="D154" s="44" t="s">
        <v>41</v>
      </c>
      <c r="E154" s="44" t="s">
        <v>231</v>
      </c>
      <c r="F154" s="10" t="s">
        <v>19</v>
      </c>
      <c r="G154" s="44" t="s">
        <v>43</v>
      </c>
      <c r="H154" s="45">
        <v>1</v>
      </c>
      <c r="I154" s="46">
        <v>46202</v>
      </c>
      <c r="J154" s="46">
        <v>46202</v>
      </c>
      <c r="K154" s="47">
        <f>H154/$O$7</f>
        <v>1</v>
      </c>
      <c r="L154" s="48" t="s">
        <v>17</v>
      </c>
    </row>
    <row r="155" spans="1:12" x14ac:dyDescent="0.2">
      <c r="A155" s="44" t="s">
        <v>120</v>
      </c>
      <c r="B155" s="49" t="s">
        <v>83</v>
      </c>
      <c r="C155" s="55" t="s">
        <v>230</v>
      </c>
      <c r="D155" s="44" t="s">
        <v>41</v>
      </c>
      <c r="E155" s="44" t="s">
        <v>232</v>
      </c>
      <c r="F155" s="10" t="str" cm="1">
        <f t="array" ref="F155">_xlfn.IFS(H155="","", H155&lt;=2,"Low", H155&lt;=5,"Mid", H155&lt;=8,"High", TRUE,"Out of Range")</f>
        <v>Low</v>
      </c>
      <c r="G155" s="44" t="s">
        <v>43</v>
      </c>
      <c r="H155" s="45">
        <v>1</v>
      </c>
      <c r="I155" s="46">
        <v>46203</v>
      </c>
      <c r="J155" s="46">
        <v>46203</v>
      </c>
      <c r="K155" s="47">
        <f>H155/$O$7</f>
        <v>1</v>
      </c>
      <c r="L155" s="48" t="s">
        <v>17</v>
      </c>
    </row>
    <row r="156" spans="1:12" x14ac:dyDescent="0.2">
      <c r="A156" s="44" t="s">
        <v>120</v>
      </c>
      <c r="B156" s="49" t="s">
        <v>83</v>
      </c>
      <c r="C156" s="55" t="s">
        <v>230</v>
      </c>
      <c r="D156" s="44" t="s">
        <v>46</v>
      </c>
      <c r="E156" s="44" t="s">
        <v>233</v>
      </c>
      <c r="F156" s="10" t="str" cm="1">
        <f t="array" ref="F156">_xlfn.IFS(H156="","", H156&lt;=2,"Low", H156&lt;=5,"Mid", H156&lt;=8,"High", TRUE,"Out of Range")</f>
        <v>Low</v>
      </c>
      <c r="G156" s="44" t="s">
        <v>62</v>
      </c>
      <c r="H156" s="45">
        <v>1</v>
      </c>
      <c r="I156" s="46">
        <v>46204</v>
      </c>
      <c r="J156" s="46">
        <v>46204</v>
      </c>
      <c r="K156" s="47">
        <f>H156/$O$8</f>
        <v>1</v>
      </c>
      <c r="L156" s="48" t="s">
        <v>17</v>
      </c>
    </row>
    <row r="157" spans="1:12" x14ac:dyDescent="0.2">
      <c r="A157" s="44" t="s">
        <v>120</v>
      </c>
      <c r="B157" s="49" t="s">
        <v>83</v>
      </c>
      <c r="C157" s="55" t="s">
        <v>230</v>
      </c>
      <c r="D157" s="44" t="s">
        <v>46</v>
      </c>
      <c r="E157" s="44" t="s">
        <v>234</v>
      </c>
      <c r="F157" s="10" t="str" cm="1">
        <f t="array" ref="F157">_xlfn.IFS(H157="","", H157&lt;=2,"Low", H157&lt;=5,"Mid", H157&lt;=8,"High", TRUE,"Out of Range")</f>
        <v>Low</v>
      </c>
      <c r="G157" s="44" t="s">
        <v>85</v>
      </c>
      <c r="H157" s="45">
        <v>2</v>
      </c>
      <c r="I157" s="46">
        <v>46204</v>
      </c>
      <c r="J157" s="46">
        <v>46205</v>
      </c>
      <c r="K157" s="47">
        <f>H157/$O$7</f>
        <v>2</v>
      </c>
      <c r="L157" s="48" t="s">
        <v>17</v>
      </c>
    </row>
    <row r="158" spans="1:12" x14ac:dyDescent="0.2">
      <c r="A158" s="44" t="s">
        <v>120</v>
      </c>
      <c r="B158" s="49" t="s">
        <v>83</v>
      </c>
      <c r="C158" s="55" t="s">
        <v>230</v>
      </c>
      <c r="D158" s="44" t="s">
        <v>50</v>
      </c>
      <c r="E158" s="44" t="s">
        <v>235</v>
      </c>
      <c r="F158" s="10" t="str" cm="1">
        <f t="array" ref="F158">_xlfn.IFS(H158="","", H158&lt;=2,"Low", H158&lt;=5,"Mid", H158&lt;=8,"High", TRUE,"Out of Range")</f>
        <v>Low</v>
      </c>
      <c r="G158" s="44" t="s">
        <v>43</v>
      </c>
      <c r="H158" s="45">
        <v>1</v>
      </c>
      <c r="I158" s="46">
        <v>46211</v>
      </c>
      <c r="J158" s="46">
        <v>46211</v>
      </c>
      <c r="K158" s="47">
        <f>H158/$O$5</f>
        <v>1</v>
      </c>
      <c r="L158" s="48" t="s">
        <v>17</v>
      </c>
    </row>
    <row r="159" spans="1:12" x14ac:dyDescent="0.2">
      <c r="A159" s="44" t="s">
        <v>120</v>
      </c>
      <c r="B159" s="49" t="s">
        <v>83</v>
      </c>
      <c r="C159" s="55" t="s">
        <v>236</v>
      </c>
      <c r="D159" s="44" t="s">
        <v>41</v>
      </c>
      <c r="E159" s="44" t="s">
        <v>237</v>
      </c>
      <c r="F159" s="10" t="str" cm="1">
        <f t="array" ref="F159">_xlfn.IFS(H159="","", H159&lt;=2,"Low", H159&lt;=5,"Mid", H159&lt;=8,"High", TRUE,"Out of Range")</f>
        <v>Low</v>
      </c>
      <c r="G159" s="44" t="s">
        <v>43</v>
      </c>
      <c r="H159" s="45">
        <v>1</v>
      </c>
      <c r="I159" s="46">
        <v>46212</v>
      </c>
      <c r="J159" s="46">
        <v>46212</v>
      </c>
      <c r="K159" s="47">
        <f>H159/$O$7</f>
        <v>1</v>
      </c>
      <c r="L159" s="48" t="s">
        <v>17</v>
      </c>
    </row>
    <row r="160" spans="1:12" x14ac:dyDescent="0.2">
      <c r="A160" s="44" t="s">
        <v>124</v>
      </c>
      <c r="B160" s="49" t="s">
        <v>83</v>
      </c>
      <c r="C160" s="55" t="s">
        <v>236</v>
      </c>
      <c r="D160" s="44" t="s">
        <v>41</v>
      </c>
      <c r="E160" s="44" t="s">
        <v>238</v>
      </c>
      <c r="F160" s="10" t="str" cm="1">
        <f t="array" ref="F160">_xlfn.IFS(H160="","", H160&lt;=2,"Low", H160&lt;=5,"Mid", H160&lt;=8,"High", TRUE,"Out of Range")</f>
        <v>Low</v>
      </c>
      <c r="G160" s="44" t="s">
        <v>43</v>
      </c>
      <c r="H160" s="45">
        <v>1</v>
      </c>
      <c r="I160" s="46">
        <v>46213</v>
      </c>
      <c r="J160" s="46">
        <v>46213</v>
      </c>
      <c r="K160" s="47">
        <f>H160/$O$7</f>
        <v>1</v>
      </c>
      <c r="L160" s="48" t="s">
        <v>17</v>
      </c>
    </row>
    <row r="161" spans="1:12" x14ac:dyDescent="0.2">
      <c r="A161" s="44" t="s">
        <v>124</v>
      </c>
      <c r="B161" s="49" t="s">
        <v>83</v>
      </c>
      <c r="C161" s="55" t="s">
        <v>236</v>
      </c>
      <c r="D161" s="44" t="s">
        <v>46</v>
      </c>
      <c r="E161" s="44" t="s">
        <v>239</v>
      </c>
      <c r="F161" s="10" t="s">
        <v>19</v>
      </c>
      <c r="G161" s="44" t="s">
        <v>62</v>
      </c>
      <c r="H161" s="45">
        <v>3</v>
      </c>
      <c r="I161" s="46">
        <v>46216</v>
      </c>
      <c r="J161" s="46">
        <v>46218</v>
      </c>
      <c r="K161" s="47">
        <f>H161/$O$8</f>
        <v>3</v>
      </c>
      <c r="L161" s="48" t="s">
        <v>17</v>
      </c>
    </row>
    <row r="162" spans="1:12" x14ac:dyDescent="0.2">
      <c r="A162" s="44" t="s">
        <v>124</v>
      </c>
      <c r="B162" s="49" t="s">
        <v>83</v>
      </c>
      <c r="C162" s="55" t="s">
        <v>236</v>
      </c>
      <c r="D162" s="44" t="s">
        <v>46</v>
      </c>
      <c r="E162" s="44" t="s">
        <v>240</v>
      </c>
      <c r="F162" s="10" t="s">
        <v>19</v>
      </c>
      <c r="G162" s="44" t="s">
        <v>85</v>
      </c>
      <c r="H162" s="45">
        <v>4</v>
      </c>
      <c r="I162" s="46">
        <v>46216</v>
      </c>
      <c r="J162" s="46">
        <v>46219</v>
      </c>
      <c r="K162" s="47">
        <f>H162/$O$7</f>
        <v>4</v>
      </c>
      <c r="L162" s="48" t="s">
        <v>17</v>
      </c>
    </row>
    <row r="163" spans="1:12" x14ac:dyDescent="0.2">
      <c r="A163" s="44" t="s">
        <v>148</v>
      </c>
      <c r="B163" s="49" t="s">
        <v>83</v>
      </c>
      <c r="C163" s="55" t="s">
        <v>236</v>
      </c>
      <c r="D163" s="44" t="s">
        <v>50</v>
      </c>
      <c r="E163" s="44" t="s">
        <v>241</v>
      </c>
      <c r="F163" s="10" t="s">
        <v>19</v>
      </c>
      <c r="G163" s="44" t="s">
        <v>43</v>
      </c>
      <c r="H163" s="45">
        <v>2</v>
      </c>
      <c r="I163" s="46">
        <v>46220</v>
      </c>
      <c r="J163" s="46">
        <v>46223</v>
      </c>
      <c r="K163" s="47">
        <f>H163/$O$5</f>
        <v>2</v>
      </c>
      <c r="L163" s="48" t="s">
        <v>17</v>
      </c>
    </row>
    <row r="164" spans="1:12" x14ac:dyDescent="0.2">
      <c r="A164" s="44" t="s">
        <v>148</v>
      </c>
      <c r="B164" s="49" t="s">
        <v>83</v>
      </c>
      <c r="C164" s="55" t="s">
        <v>242</v>
      </c>
      <c r="D164" s="44" t="s">
        <v>41</v>
      </c>
      <c r="E164" s="44" t="s">
        <v>243</v>
      </c>
      <c r="F164" s="10" t="s">
        <v>25</v>
      </c>
      <c r="G164" s="44" t="s">
        <v>43</v>
      </c>
      <c r="H164" s="45">
        <v>1</v>
      </c>
      <c r="I164" s="46">
        <v>46216</v>
      </c>
      <c r="J164" s="46">
        <v>46216</v>
      </c>
      <c r="K164" s="47">
        <f>H164/$O$7</f>
        <v>1</v>
      </c>
      <c r="L164" s="48" t="s">
        <v>17</v>
      </c>
    </row>
    <row r="165" spans="1:12" x14ac:dyDescent="0.2">
      <c r="A165" s="44" t="s">
        <v>148</v>
      </c>
      <c r="B165" s="49" t="s">
        <v>83</v>
      </c>
      <c r="C165" s="55" t="s">
        <v>242</v>
      </c>
      <c r="D165" s="44" t="s">
        <v>41</v>
      </c>
      <c r="E165" s="44" t="s">
        <v>244</v>
      </c>
      <c r="F165" s="10" t="s">
        <v>15</v>
      </c>
      <c r="G165" s="44" t="s">
        <v>43</v>
      </c>
      <c r="H165" s="45">
        <v>1</v>
      </c>
      <c r="I165" s="46">
        <v>46217</v>
      </c>
      <c r="J165" s="46">
        <v>46217</v>
      </c>
      <c r="K165" s="47">
        <f>H165/$O$7</f>
        <v>1</v>
      </c>
      <c r="L165" s="48" t="s">
        <v>17</v>
      </c>
    </row>
    <row r="166" spans="1:12" x14ac:dyDescent="0.2">
      <c r="A166" s="44" t="s">
        <v>148</v>
      </c>
      <c r="B166" s="49" t="s">
        <v>83</v>
      </c>
      <c r="C166" s="55" t="s">
        <v>242</v>
      </c>
      <c r="D166" s="44" t="s">
        <v>46</v>
      </c>
      <c r="E166" s="44" t="s">
        <v>245</v>
      </c>
      <c r="F166" s="10" t="s">
        <v>19</v>
      </c>
      <c r="G166" s="44" t="s">
        <v>62</v>
      </c>
      <c r="H166" s="45">
        <v>2</v>
      </c>
      <c r="I166" s="46">
        <v>46218</v>
      </c>
      <c r="J166" s="46">
        <v>46219</v>
      </c>
      <c r="K166" s="47">
        <f>H166/$O$8</f>
        <v>2</v>
      </c>
      <c r="L166" s="48" t="s">
        <v>17</v>
      </c>
    </row>
    <row r="167" spans="1:12" x14ac:dyDescent="0.2">
      <c r="A167" s="44" t="s">
        <v>150</v>
      </c>
      <c r="B167" s="49" t="s">
        <v>83</v>
      </c>
      <c r="C167" s="55" t="s">
        <v>242</v>
      </c>
      <c r="D167" s="44" t="s">
        <v>46</v>
      </c>
      <c r="E167" s="44" t="s">
        <v>246</v>
      </c>
      <c r="F167" s="10" t="str" cm="1">
        <f t="array" ref="F167">_xlfn.IFS(H167="","", H167&lt;=2,"Low", H167&lt;=5,"Mid", H167&lt;=8,"High", TRUE,"Out of Range")</f>
        <v>Low</v>
      </c>
      <c r="G167" s="44" t="s">
        <v>13</v>
      </c>
      <c r="H167" s="45">
        <v>2</v>
      </c>
      <c r="I167" s="46">
        <v>46220</v>
      </c>
      <c r="J167" s="46">
        <v>46223</v>
      </c>
      <c r="K167" s="47">
        <f>H167/$O$5</f>
        <v>2</v>
      </c>
      <c r="L167" s="48" t="s">
        <v>17</v>
      </c>
    </row>
    <row r="168" spans="1:12" x14ac:dyDescent="0.2">
      <c r="A168" s="44" t="s">
        <v>150</v>
      </c>
      <c r="B168" s="49" t="s">
        <v>83</v>
      </c>
      <c r="C168" s="55" t="s">
        <v>242</v>
      </c>
      <c r="D168" s="44" t="s">
        <v>50</v>
      </c>
      <c r="E168" s="44" t="s">
        <v>247</v>
      </c>
      <c r="F168" s="10" t="str" cm="1">
        <f t="array" ref="F168">_xlfn.IFS(H168="","", H168&lt;=2,"Low", H168&lt;=5,"Mid", H168&lt;=8,"High", TRUE,"Out of Range")</f>
        <v>Low</v>
      </c>
      <c r="G168" s="44" t="s">
        <v>43</v>
      </c>
      <c r="H168" s="45">
        <v>1</v>
      </c>
      <c r="I168" s="46">
        <v>46224</v>
      </c>
      <c r="J168" s="46">
        <v>46224</v>
      </c>
      <c r="K168" s="47">
        <f>H168/$O$5</f>
        <v>1</v>
      </c>
      <c r="L168" s="48" t="s">
        <v>17</v>
      </c>
    </row>
    <row r="169" spans="1:12" x14ac:dyDescent="0.2">
      <c r="A169" s="44" t="s">
        <v>150</v>
      </c>
      <c r="B169" s="49" t="s">
        <v>83</v>
      </c>
      <c r="C169" s="55" t="s">
        <v>248</v>
      </c>
      <c r="D169" s="44" t="s">
        <v>41</v>
      </c>
      <c r="E169" s="44" t="s">
        <v>249</v>
      </c>
      <c r="F169" s="10" t="str" cm="1">
        <f t="array" ref="F169">_xlfn.IFS(H169="","", H169&lt;=2,"Low", H169&lt;=5,"Mid", H169&lt;=8,"High", TRUE,"Out of Range")</f>
        <v>Low</v>
      </c>
      <c r="G169" s="44" t="s">
        <v>43</v>
      </c>
      <c r="H169" s="45">
        <v>1</v>
      </c>
      <c r="I169" s="46">
        <v>46218</v>
      </c>
      <c r="J169" s="46">
        <v>46218</v>
      </c>
      <c r="K169" s="47">
        <f>H169/$O$7</f>
        <v>1</v>
      </c>
      <c r="L169" s="48" t="s">
        <v>17</v>
      </c>
    </row>
    <row r="170" spans="1:12" x14ac:dyDescent="0.2">
      <c r="A170" s="44" t="s">
        <v>150</v>
      </c>
      <c r="B170" s="49" t="s">
        <v>83</v>
      </c>
      <c r="C170" s="55" t="s">
        <v>248</v>
      </c>
      <c r="D170" s="44" t="s">
        <v>41</v>
      </c>
      <c r="E170" s="44" t="s">
        <v>250</v>
      </c>
      <c r="F170" s="10" t="str" cm="1">
        <f t="array" ref="F170">_xlfn.IFS(H170="","", H170&lt;=2,"Low", H170&lt;=5,"Mid", H170&lt;=8,"High", TRUE,"Out of Range")</f>
        <v>Low</v>
      </c>
      <c r="G170" s="44" t="s">
        <v>43</v>
      </c>
      <c r="H170" s="45">
        <v>1</v>
      </c>
      <c r="I170" s="46">
        <v>46225</v>
      </c>
      <c r="J170" s="46">
        <v>46225</v>
      </c>
      <c r="K170" s="47">
        <f>H170/$O$7</f>
        <v>1</v>
      </c>
      <c r="L170" s="48" t="s">
        <v>17</v>
      </c>
    </row>
    <row r="171" spans="1:12" x14ac:dyDescent="0.2">
      <c r="A171" s="44" t="s">
        <v>155</v>
      </c>
      <c r="B171" s="49" t="s">
        <v>83</v>
      </c>
      <c r="C171" s="55" t="s">
        <v>248</v>
      </c>
      <c r="D171" s="44" t="s">
        <v>46</v>
      </c>
      <c r="E171" s="44" t="s">
        <v>251</v>
      </c>
      <c r="F171" s="10" t="str" cm="1">
        <f t="array" ref="F171">_xlfn.IFS(H171="","", H171&lt;=2,"Low", H171&lt;=5,"Mid", H171&lt;=8,"High", TRUE,"Out of Range")</f>
        <v>Low</v>
      </c>
      <c r="G171" s="44" t="s">
        <v>62</v>
      </c>
      <c r="H171" s="45">
        <v>1</v>
      </c>
      <c r="I171" s="46">
        <v>46226</v>
      </c>
      <c r="J171" s="46">
        <v>46226</v>
      </c>
      <c r="K171" s="47">
        <f>H171/$O$8</f>
        <v>1</v>
      </c>
      <c r="L171" s="48" t="s">
        <v>17</v>
      </c>
    </row>
    <row r="172" spans="1:12" x14ac:dyDescent="0.2">
      <c r="A172" s="44" t="s">
        <v>155</v>
      </c>
      <c r="B172" s="49" t="s">
        <v>83</v>
      </c>
      <c r="C172" s="55" t="s">
        <v>248</v>
      </c>
      <c r="D172" s="44" t="s">
        <v>46</v>
      </c>
      <c r="E172" s="44" t="s">
        <v>252</v>
      </c>
      <c r="F172" s="10" t="str" cm="1">
        <f t="array" ref="F172">_xlfn.IFS(H172="","", H172&lt;=2,"Low", H172&lt;=5,"Mid", H172&lt;=8,"High", TRUE,"Out of Range")</f>
        <v>Mid</v>
      </c>
      <c r="G172" s="44" t="s">
        <v>85</v>
      </c>
      <c r="H172" s="45">
        <v>4</v>
      </c>
      <c r="I172" s="46">
        <v>46226</v>
      </c>
      <c r="J172" s="46">
        <v>46231</v>
      </c>
      <c r="K172" s="47">
        <f>H172/$O$7</f>
        <v>4</v>
      </c>
      <c r="L172" s="48" t="s">
        <v>17</v>
      </c>
    </row>
    <row r="173" spans="1:12" x14ac:dyDescent="0.2">
      <c r="A173" s="44" t="s">
        <v>155</v>
      </c>
      <c r="B173" s="49" t="s">
        <v>83</v>
      </c>
      <c r="C173" s="55" t="s">
        <v>248</v>
      </c>
      <c r="D173" s="44" t="s">
        <v>50</v>
      </c>
      <c r="E173" s="44" t="s">
        <v>253</v>
      </c>
      <c r="F173" s="10" t="s">
        <v>19</v>
      </c>
      <c r="G173" s="44" t="s">
        <v>43</v>
      </c>
      <c r="H173" s="45">
        <v>1</v>
      </c>
      <c r="I173" s="46">
        <v>46232</v>
      </c>
      <c r="J173" s="46">
        <v>46232</v>
      </c>
      <c r="K173" s="47">
        <f>H173/$O$5</f>
        <v>1</v>
      </c>
      <c r="L173" s="48" t="s">
        <v>17</v>
      </c>
    </row>
    <row r="174" spans="1:12" x14ac:dyDescent="0.25">
      <c r="A174" s="44" t="s">
        <v>158</v>
      </c>
      <c r="B174" s="49" t="s">
        <v>83</v>
      </c>
      <c r="C174" s="55" t="s">
        <v>254</v>
      </c>
      <c r="D174" s="44" t="s">
        <v>41</v>
      </c>
      <c r="E174" s="55" t="s">
        <v>255</v>
      </c>
      <c r="F174" s="10" t="s">
        <v>19</v>
      </c>
      <c r="G174" s="44" t="s">
        <v>43</v>
      </c>
      <c r="H174" s="45">
        <v>1</v>
      </c>
      <c r="I174" s="46">
        <v>46226</v>
      </c>
      <c r="J174" s="46">
        <v>46226</v>
      </c>
      <c r="K174" s="47">
        <f>H174/$O$7</f>
        <v>1</v>
      </c>
      <c r="L174" s="48" t="s">
        <v>17</v>
      </c>
    </row>
    <row r="175" spans="1:12" x14ac:dyDescent="0.25">
      <c r="A175" s="44" t="s">
        <v>158</v>
      </c>
      <c r="B175" s="49" t="s">
        <v>83</v>
      </c>
      <c r="C175" s="55" t="s">
        <v>254</v>
      </c>
      <c r="D175" s="44" t="s">
        <v>41</v>
      </c>
      <c r="E175" s="55" t="s">
        <v>256</v>
      </c>
      <c r="F175" s="10" t="s">
        <v>19</v>
      </c>
      <c r="G175" s="44" t="s">
        <v>43</v>
      </c>
      <c r="H175" s="45">
        <v>1</v>
      </c>
      <c r="I175" s="46">
        <v>46227</v>
      </c>
      <c r="J175" s="46">
        <v>46227</v>
      </c>
      <c r="K175" s="47">
        <f>H175/$O$7</f>
        <v>1</v>
      </c>
      <c r="L175" s="48" t="s">
        <v>17</v>
      </c>
    </row>
    <row r="176" spans="1:12" x14ac:dyDescent="0.25">
      <c r="A176" s="44" t="s">
        <v>158</v>
      </c>
      <c r="B176" s="49" t="s">
        <v>83</v>
      </c>
      <c r="C176" s="55" t="s">
        <v>254</v>
      </c>
      <c r="D176" s="44" t="s">
        <v>46</v>
      </c>
      <c r="E176" s="55" t="s">
        <v>257</v>
      </c>
      <c r="F176" s="10" t="s">
        <v>25</v>
      </c>
      <c r="G176" s="44" t="s">
        <v>13</v>
      </c>
      <c r="H176" s="45">
        <v>3</v>
      </c>
      <c r="I176" s="46">
        <v>46230</v>
      </c>
      <c r="J176" s="46">
        <v>46232</v>
      </c>
      <c r="K176" s="47">
        <f t="shared" ref="K176:K183" si="2">H176/$O$5</f>
        <v>3</v>
      </c>
      <c r="L176" s="48" t="s">
        <v>17</v>
      </c>
    </row>
    <row r="177" spans="1:12" x14ac:dyDescent="0.25">
      <c r="A177" s="44" t="s">
        <v>158</v>
      </c>
      <c r="B177" s="49" t="s">
        <v>83</v>
      </c>
      <c r="C177" s="55" t="s">
        <v>254</v>
      </c>
      <c r="D177" s="44" t="s">
        <v>50</v>
      </c>
      <c r="E177" s="55" t="s">
        <v>258</v>
      </c>
      <c r="F177" s="10" t="s">
        <v>15</v>
      </c>
      <c r="G177" s="44" t="s">
        <v>43</v>
      </c>
      <c r="H177" s="45">
        <v>1</v>
      </c>
      <c r="I177" s="46">
        <v>46233</v>
      </c>
      <c r="J177" s="46">
        <v>46233</v>
      </c>
      <c r="K177" s="47">
        <f t="shared" si="2"/>
        <v>1</v>
      </c>
      <c r="L177" s="48" t="s">
        <v>17</v>
      </c>
    </row>
    <row r="178" spans="1:12" x14ac:dyDescent="0.2">
      <c r="A178" s="44" t="s">
        <v>214</v>
      </c>
      <c r="B178" s="49" t="s">
        <v>83</v>
      </c>
      <c r="C178" s="55" t="s">
        <v>259</v>
      </c>
      <c r="D178" s="44" t="s">
        <v>41</v>
      </c>
      <c r="E178" s="55" t="s">
        <v>260</v>
      </c>
      <c r="F178" s="10" t="s">
        <v>19</v>
      </c>
      <c r="G178" s="44" t="s">
        <v>43</v>
      </c>
      <c r="H178" s="45">
        <v>1</v>
      </c>
      <c r="I178" s="46">
        <v>46234</v>
      </c>
      <c r="J178" s="46">
        <v>46234</v>
      </c>
      <c r="K178" s="47">
        <f t="shared" si="2"/>
        <v>1</v>
      </c>
      <c r="L178" s="48" t="s">
        <v>17</v>
      </c>
    </row>
    <row r="179" spans="1:12" x14ac:dyDescent="0.2">
      <c r="A179" s="44" t="s">
        <v>261</v>
      </c>
      <c r="B179" s="49" t="s">
        <v>83</v>
      </c>
      <c r="C179" s="55" t="s">
        <v>259</v>
      </c>
      <c r="D179" s="44" t="s">
        <v>41</v>
      </c>
      <c r="E179" s="55" t="s">
        <v>262</v>
      </c>
      <c r="F179" s="10" t="str" cm="1">
        <f t="array" ref="F179">_xlfn.IFS(H179="","", H179&lt;=2,"Low", H179&lt;=5,"Mid", H179&lt;=8,"High", TRUE,"Out of Range")</f>
        <v>Low</v>
      </c>
      <c r="G179" s="44" t="s">
        <v>43</v>
      </c>
      <c r="H179" s="45">
        <v>1</v>
      </c>
      <c r="I179" s="46">
        <v>46237</v>
      </c>
      <c r="J179" s="46">
        <v>46237</v>
      </c>
      <c r="K179" s="47">
        <f t="shared" si="2"/>
        <v>1</v>
      </c>
      <c r="L179" s="48" t="s">
        <v>17</v>
      </c>
    </row>
    <row r="180" spans="1:12" x14ac:dyDescent="0.2">
      <c r="A180" s="44" t="s">
        <v>261</v>
      </c>
      <c r="B180" s="49" t="s">
        <v>83</v>
      </c>
      <c r="C180" s="55" t="s">
        <v>259</v>
      </c>
      <c r="D180" s="44" t="s">
        <v>46</v>
      </c>
      <c r="E180" s="55" t="s">
        <v>263</v>
      </c>
      <c r="F180" s="10" t="str" cm="1">
        <f t="array" ref="F180">_xlfn.IFS(H180="","", H180&lt;=2,"Low", H180&lt;=5,"Mid", H180&lt;=8,"High", TRUE,"Out of Range")</f>
        <v>Mid</v>
      </c>
      <c r="G180" s="44" t="s">
        <v>13</v>
      </c>
      <c r="H180" s="45">
        <v>3</v>
      </c>
      <c r="I180" s="46">
        <v>46238</v>
      </c>
      <c r="J180" s="46">
        <v>46240</v>
      </c>
      <c r="K180" s="47">
        <f t="shared" si="2"/>
        <v>3</v>
      </c>
      <c r="L180" s="48" t="s">
        <v>17</v>
      </c>
    </row>
    <row r="181" spans="1:12" x14ac:dyDescent="0.2">
      <c r="A181" s="44" t="s">
        <v>261</v>
      </c>
      <c r="B181" s="49" t="s">
        <v>83</v>
      </c>
      <c r="C181" s="55" t="s">
        <v>259</v>
      </c>
      <c r="D181" s="44" t="s">
        <v>50</v>
      </c>
      <c r="E181" s="55" t="s">
        <v>264</v>
      </c>
      <c r="F181" s="10" t="str" cm="1">
        <f t="array" ref="F181">_xlfn.IFS(H181="","", H181&lt;=2,"Low", H181&lt;=5,"Mid", H181&lt;=8,"High", TRUE,"Out of Range")</f>
        <v>Low</v>
      </c>
      <c r="G181" s="44" t="s">
        <v>43</v>
      </c>
      <c r="H181" s="45">
        <v>1</v>
      </c>
      <c r="I181" s="46">
        <v>46241</v>
      </c>
      <c r="J181" s="46">
        <v>46241</v>
      </c>
      <c r="K181" s="47">
        <f t="shared" si="2"/>
        <v>1</v>
      </c>
      <c r="L181" s="48" t="s">
        <v>17</v>
      </c>
    </row>
    <row r="182" spans="1:12" x14ac:dyDescent="0.2">
      <c r="A182" s="44" t="s">
        <v>261</v>
      </c>
      <c r="B182" s="49" t="s">
        <v>83</v>
      </c>
      <c r="C182" s="55" t="s">
        <v>265</v>
      </c>
      <c r="D182" s="44" t="s">
        <v>41</v>
      </c>
      <c r="E182" s="55" t="s">
        <v>266</v>
      </c>
      <c r="F182" s="10" t="str" cm="1">
        <f t="array" ref="F182">_xlfn.IFS(H182="","", H182&lt;=2,"Low", H182&lt;=5,"Mid", H182&lt;=8,"High", TRUE,"Out of Range")</f>
        <v>Low</v>
      </c>
      <c r="G182" s="44" t="s">
        <v>43</v>
      </c>
      <c r="H182" s="45">
        <v>1</v>
      </c>
      <c r="I182" s="46">
        <v>46244</v>
      </c>
      <c r="J182" s="46">
        <v>46244</v>
      </c>
      <c r="K182" s="47">
        <f t="shared" si="2"/>
        <v>1</v>
      </c>
      <c r="L182" s="48" t="s">
        <v>17</v>
      </c>
    </row>
    <row r="183" spans="1:12" x14ac:dyDescent="0.2">
      <c r="A183" s="44" t="s">
        <v>267</v>
      </c>
      <c r="B183" s="49" t="s">
        <v>83</v>
      </c>
      <c r="C183" s="55" t="s">
        <v>265</v>
      </c>
      <c r="D183" s="44" t="s">
        <v>41</v>
      </c>
      <c r="E183" s="55" t="s">
        <v>268</v>
      </c>
      <c r="F183" s="10" t="str" cm="1">
        <f t="array" ref="F183">_xlfn.IFS(H183="","", H183&lt;=2,"Low", H183&lt;=5,"Mid", H183&lt;=8,"High", TRUE,"Out of Range")</f>
        <v>Low</v>
      </c>
      <c r="G183" s="44" t="s">
        <v>43</v>
      </c>
      <c r="H183" s="45">
        <v>1</v>
      </c>
      <c r="I183" s="46">
        <v>46245</v>
      </c>
      <c r="J183" s="46">
        <v>46245</v>
      </c>
      <c r="K183" s="47">
        <f t="shared" si="2"/>
        <v>1</v>
      </c>
      <c r="L183" s="48" t="s">
        <v>17</v>
      </c>
    </row>
    <row r="184" spans="1:12" x14ac:dyDescent="0.2">
      <c r="A184" s="44" t="s">
        <v>267</v>
      </c>
      <c r="B184" s="49" t="s">
        <v>83</v>
      </c>
      <c r="C184" s="55" t="s">
        <v>265</v>
      </c>
      <c r="D184" s="44" t="s">
        <v>46</v>
      </c>
      <c r="E184" s="55" t="s">
        <v>269</v>
      </c>
      <c r="F184" s="10" t="str" cm="1">
        <f t="array" ref="F184">_xlfn.IFS(H184="","", H184&lt;=2,"Low", H184&lt;=5,"Mid", H184&lt;=8,"High", TRUE,"Out of Range")</f>
        <v>Mid</v>
      </c>
      <c r="G184" s="44" t="s">
        <v>85</v>
      </c>
      <c r="H184" s="45">
        <v>3</v>
      </c>
      <c r="I184" s="46">
        <v>46246</v>
      </c>
      <c r="J184" s="46">
        <v>46248</v>
      </c>
      <c r="K184" s="47">
        <f>H184/$O$7</f>
        <v>3</v>
      </c>
      <c r="L184" s="48" t="s">
        <v>17</v>
      </c>
    </row>
    <row r="185" spans="1:12" x14ac:dyDescent="0.2">
      <c r="A185" s="50" t="s">
        <v>267</v>
      </c>
      <c r="B185" s="51" t="s">
        <v>83</v>
      </c>
      <c r="C185" s="56" t="s">
        <v>265</v>
      </c>
      <c r="D185" s="44" t="s">
        <v>50</v>
      </c>
      <c r="E185" s="56" t="s">
        <v>270</v>
      </c>
      <c r="F185" s="10" t="s">
        <v>19</v>
      </c>
      <c r="G185" s="44" t="s">
        <v>43</v>
      </c>
      <c r="H185" s="52">
        <v>1</v>
      </c>
      <c r="I185" s="53">
        <v>46251</v>
      </c>
      <c r="J185" s="53">
        <v>46251</v>
      </c>
      <c r="K185" s="47">
        <f>H185/$O$5</f>
        <v>1</v>
      </c>
      <c r="L185" s="54" t="s">
        <v>17</v>
      </c>
    </row>
    <row r="186" spans="1:12" x14ac:dyDescent="0.2">
      <c r="A186" s="44" t="s">
        <v>267</v>
      </c>
      <c r="B186" s="43" t="s">
        <v>39</v>
      </c>
      <c r="C186" s="55" t="s">
        <v>271</v>
      </c>
      <c r="D186" s="44" t="s">
        <v>41</v>
      </c>
      <c r="E186" s="44" t="s">
        <v>272</v>
      </c>
      <c r="F186" s="10" t="s">
        <v>19</v>
      </c>
      <c r="G186" s="44" t="s">
        <v>43</v>
      </c>
      <c r="H186" s="45">
        <v>1</v>
      </c>
      <c r="I186" s="46">
        <f>WORKDAY(J183,1)</f>
        <v>46246</v>
      </c>
      <c r="J186" s="46">
        <f t="shared" ref="J186:J245" si="3">WORKDAY(I186,K186)</f>
        <v>46247</v>
      </c>
      <c r="K186" s="47">
        <f>H186/$O$5</f>
        <v>1</v>
      </c>
      <c r="L186" s="48" t="s">
        <v>17</v>
      </c>
    </row>
    <row r="187" spans="1:12" x14ac:dyDescent="0.2">
      <c r="A187" s="44" t="s">
        <v>267</v>
      </c>
      <c r="B187" s="43" t="s">
        <v>39</v>
      </c>
      <c r="C187" s="55" t="s">
        <v>271</v>
      </c>
      <c r="D187" s="44" t="s">
        <v>41</v>
      </c>
      <c r="E187" s="44" t="s">
        <v>273</v>
      </c>
      <c r="F187" s="10" t="s">
        <v>19</v>
      </c>
      <c r="G187" s="44" t="s">
        <v>43</v>
      </c>
      <c r="H187" s="45">
        <v>1</v>
      </c>
      <c r="I187" s="46">
        <f>WORKDAY(J186,1)</f>
        <v>46248</v>
      </c>
      <c r="J187" s="46">
        <f t="shared" si="3"/>
        <v>46251</v>
      </c>
      <c r="K187" s="47">
        <f>H187/$O$5</f>
        <v>1</v>
      </c>
      <c r="L187" s="48" t="s">
        <v>17</v>
      </c>
    </row>
    <row r="188" spans="1:12" x14ac:dyDescent="0.2">
      <c r="A188" s="44" t="s">
        <v>274</v>
      </c>
      <c r="B188" s="43" t="s">
        <v>39</v>
      </c>
      <c r="C188" s="55" t="s">
        <v>271</v>
      </c>
      <c r="D188" s="44" t="s">
        <v>46</v>
      </c>
      <c r="E188" s="44" t="s">
        <v>275</v>
      </c>
      <c r="F188" s="10" t="s">
        <v>25</v>
      </c>
      <c r="G188" s="44" t="s">
        <v>62</v>
      </c>
      <c r="H188" s="45">
        <v>3</v>
      </c>
      <c r="I188" s="46">
        <f>WORKDAY(J187,1)</f>
        <v>46252</v>
      </c>
      <c r="J188" s="46">
        <f t="shared" si="3"/>
        <v>46255</v>
      </c>
      <c r="K188" s="47">
        <f>H188/$O$8</f>
        <v>3</v>
      </c>
      <c r="L188" s="48" t="s">
        <v>17</v>
      </c>
    </row>
    <row r="189" spans="1:12" x14ac:dyDescent="0.2">
      <c r="A189" s="44" t="s">
        <v>274</v>
      </c>
      <c r="B189" s="43" t="s">
        <v>39</v>
      </c>
      <c r="C189" s="55" t="s">
        <v>271</v>
      </c>
      <c r="D189" s="44" t="s">
        <v>46</v>
      </c>
      <c r="E189" s="44" t="s">
        <v>276</v>
      </c>
      <c r="F189" s="10" t="s">
        <v>15</v>
      </c>
      <c r="G189" s="44" t="s">
        <v>13</v>
      </c>
      <c r="H189" s="45">
        <v>4</v>
      </c>
      <c r="I189" s="46">
        <f>WORKDAY(J187,1)</f>
        <v>46252</v>
      </c>
      <c r="J189" s="46">
        <f t="shared" si="3"/>
        <v>46258</v>
      </c>
      <c r="K189" s="47">
        <f>H189/$O$5</f>
        <v>4</v>
      </c>
      <c r="L189" s="48" t="s">
        <v>17</v>
      </c>
    </row>
    <row r="190" spans="1:12" x14ac:dyDescent="0.2">
      <c r="A190" s="44" t="s">
        <v>274</v>
      </c>
      <c r="B190" s="43" t="s">
        <v>39</v>
      </c>
      <c r="C190" s="55" t="s">
        <v>271</v>
      </c>
      <c r="D190" s="44" t="s">
        <v>50</v>
      </c>
      <c r="E190" s="44" t="s">
        <v>277</v>
      </c>
      <c r="F190" s="10" t="s">
        <v>19</v>
      </c>
      <c r="G190" s="44" t="s">
        <v>43</v>
      </c>
      <c r="H190" s="45">
        <v>2</v>
      </c>
      <c r="I190" s="46">
        <f>WORKDAY(J189,1)</f>
        <v>46259</v>
      </c>
      <c r="J190" s="46">
        <f t="shared" si="3"/>
        <v>46261</v>
      </c>
      <c r="K190" s="47">
        <f>H190/$O$5</f>
        <v>2</v>
      </c>
      <c r="L190" s="48" t="s">
        <v>17</v>
      </c>
    </row>
    <row r="191" spans="1:12" x14ac:dyDescent="0.2">
      <c r="A191" s="44" t="s">
        <v>278</v>
      </c>
      <c r="B191" s="43" t="s">
        <v>39</v>
      </c>
      <c r="C191" s="55" t="s">
        <v>279</v>
      </c>
      <c r="D191" s="44" t="s">
        <v>41</v>
      </c>
      <c r="E191" s="44" t="s">
        <v>280</v>
      </c>
      <c r="F191" s="10" t="str" cm="1">
        <f t="array" ref="F191">_xlfn.IFS(H191="","", H191&lt;=2,"Low", H191&lt;=5,"Mid", H191&lt;=8,"High", TRUE,"Out of Range")</f>
        <v>Low</v>
      </c>
      <c r="G191" s="44" t="s">
        <v>43</v>
      </c>
      <c r="H191" s="45">
        <v>1</v>
      </c>
      <c r="I191" s="46">
        <f>WORKDAY(J187,1)</f>
        <v>46252</v>
      </c>
      <c r="J191" s="46">
        <f t="shared" si="3"/>
        <v>46253</v>
      </c>
      <c r="K191" s="47">
        <f>H191/$O$5</f>
        <v>1</v>
      </c>
      <c r="L191" s="48" t="s">
        <v>17</v>
      </c>
    </row>
    <row r="192" spans="1:12" x14ac:dyDescent="0.2">
      <c r="A192" s="44" t="s">
        <v>278</v>
      </c>
      <c r="B192" s="43" t="s">
        <v>39</v>
      </c>
      <c r="C192" s="55" t="s">
        <v>279</v>
      </c>
      <c r="D192" s="44" t="s">
        <v>41</v>
      </c>
      <c r="E192" s="44" t="s">
        <v>281</v>
      </c>
      <c r="F192" s="10" t="str" cm="1">
        <f t="array" ref="F192">_xlfn.IFS(H192="","", H192&lt;=2,"Low", H192&lt;=5,"Mid", H192&lt;=8,"High", TRUE,"Out of Range")</f>
        <v>Low</v>
      </c>
      <c r="G192" s="44" t="s">
        <v>43</v>
      </c>
      <c r="H192" s="45">
        <v>1</v>
      </c>
      <c r="I192" s="46">
        <f>WORKDAY(J191,1)</f>
        <v>46254</v>
      </c>
      <c r="J192" s="46">
        <f t="shared" si="3"/>
        <v>46255</v>
      </c>
      <c r="K192" s="47">
        <f>H192/$O$5</f>
        <v>1</v>
      </c>
      <c r="L192" s="48" t="s">
        <v>17</v>
      </c>
    </row>
    <row r="193" spans="1:12" x14ac:dyDescent="0.2">
      <c r="A193" s="44" t="s">
        <v>278</v>
      </c>
      <c r="B193" s="43" t="s">
        <v>39</v>
      </c>
      <c r="C193" s="55" t="s">
        <v>279</v>
      </c>
      <c r="D193" s="44" t="s">
        <v>46</v>
      </c>
      <c r="E193" s="44" t="s">
        <v>282</v>
      </c>
      <c r="F193" s="10" t="str" cm="1">
        <f t="array" ref="F193">_xlfn.IFS(H193="","", H193&lt;=2,"Low", H193&lt;=5,"Mid", H193&lt;=8,"High", TRUE,"Out of Range")</f>
        <v>Low</v>
      </c>
      <c r="G193" s="44" t="s">
        <v>62</v>
      </c>
      <c r="H193" s="45">
        <v>1</v>
      </c>
      <c r="I193" s="46">
        <f>WORKDAY(J192,1)</f>
        <v>46258</v>
      </c>
      <c r="J193" s="46">
        <f t="shared" si="3"/>
        <v>46259</v>
      </c>
      <c r="K193" s="47">
        <f>H193/$O$8</f>
        <v>1</v>
      </c>
      <c r="L193" s="48" t="s">
        <v>17</v>
      </c>
    </row>
    <row r="194" spans="1:12" x14ac:dyDescent="0.2">
      <c r="A194" s="44" t="s">
        <v>278</v>
      </c>
      <c r="B194" s="43" t="s">
        <v>39</v>
      </c>
      <c r="C194" s="55" t="s">
        <v>279</v>
      </c>
      <c r="D194" s="44" t="s">
        <v>46</v>
      </c>
      <c r="E194" s="44" t="s">
        <v>283</v>
      </c>
      <c r="F194" s="10" t="str" cm="1">
        <f t="array" ref="F194">_xlfn.IFS(H194="","", H194&lt;=2,"Low", H194&lt;=5,"Mid", H194&lt;=8,"High", TRUE,"Out of Range")</f>
        <v>Mid</v>
      </c>
      <c r="G194" s="44" t="s">
        <v>85</v>
      </c>
      <c r="H194" s="45">
        <v>3</v>
      </c>
      <c r="I194" s="46">
        <f>WORKDAY(J192,1)</f>
        <v>46258</v>
      </c>
      <c r="J194" s="46">
        <f t="shared" si="3"/>
        <v>46261</v>
      </c>
      <c r="K194" s="47">
        <f>H194/$O$7</f>
        <v>3</v>
      </c>
      <c r="L194" s="48" t="s">
        <v>17</v>
      </c>
    </row>
    <row r="195" spans="1:12" x14ac:dyDescent="0.2">
      <c r="A195" s="44" t="s">
        <v>284</v>
      </c>
      <c r="B195" s="43" t="s">
        <v>39</v>
      </c>
      <c r="C195" s="55" t="s">
        <v>279</v>
      </c>
      <c r="D195" s="44" t="s">
        <v>50</v>
      </c>
      <c r="E195" s="44" t="s">
        <v>285</v>
      </c>
      <c r="F195" s="10" t="str" cm="1">
        <f t="array" ref="F195">_xlfn.IFS(H195="","", H195&lt;=2,"Low", H195&lt;=5,"Mid", H195&lt;=8,"High", TRUE,"Out of Range")</f>
        <v>Low</v>
      </c>
      <c r="G195" s="44" t="s">
        <v>43</v>
      </c>
      <c r="H195" s="45">
        <v>1</v>
      </c>
      <c r="I195" s="46">
        <f>WORKDAY(J194,1)</f>
        <v>46262</v>
      </c>
      <c r="J195" s="46">
        <f t="shared" si="3"/>
        <v>46265</v>
      </c>
      <c r="K195" s="47">
        <f>H195/$O$5</f>
        <v>1</v>
      </c>
      <c r="L195" s="48" t="s">
        <v>17</v>
      </c>
    </row>
    <row r="196" spans="1:12" x14ac:dyDescent="0.2">
      <c r="A196" s="44" t="s">
        <v>284</v>
      </c>
      <c r="B196" s="43" t="s">
        <v>39</v>
      </c>
      <c r="C196" s="55" t="s">
        <v>286</v>
      </c>
      <c r="D196" s="44" t="s">
        <v>41</v>
      </c>
      <c r="E196" s="44" t="s">
        <v>287</v>
      </c>
      <c r="F196" s="10" t="str" cm="1">
        <f t="array" ref="F196">_xlfn.IFS(H196="","", H196&lt;=2,"Low", H196&lt;=5,"Mid", H196&lt;=8,"High", TRUE,"Out of Range")</f>
        <v>Low</v>
      </c>
      <c r="G196" s="44" t="s">
        <v>43</v>
      </c>
      <c r="H196" s="45">
        <v>1</v>
      </c>
      <c r="I196" s="46">
        <f>WORKDAY(J192,1)</f>
        <v>46258</v>
      </c>
      <c r="J196" s="46">
        <f t="shared" si="3"/>
        <v>46259</v>
      </c>
      <c r="K196" s="47">
        <f>H196/$O$5</f>
        <v>1</v>
      </c>
      <c r="L196" s="48" t="s">
        <v>17</v>
      </c>
    </row>
    <row r="197" spans="1:12" x14ac:dyDescent="0.2">
      <c r="A197" s="44" t="s">
        <v>284</v>
      </c>
      <c r="B197" s="43" t="s">
        <v>39</v>
      </c>
      <c r="C197" s="55" t="s">
        <v>286</v>
      </c>
      <c r="D197" s="44" t="s">
        <v>41</v>
      </c>
      <c r="E197" s="44" t="s">
        <v>288</v>
      </c>
      <c r="F197" s="10" t="s">
        <v>19</v>
      </c>
      <c r="G197" s="44" t="s">
        <v>43</v>
      </c>
      <c r="H197" s="45">
        <v>1</v>
      </c>
      <c r="I197" s="46">
        <f>WORKDAY(J196,1)</f>
        <v>46260</v>
      </c>
      <c r="J197" s="46">
        <f t="shared" si="3"/>
        <v>46261</v>
      </c>
      <c r="K197" s="47">
        <f>H197/$O$5</f>
        <v>1</v>
      </c>
      <c r="L197" s="48" t="s">
        <v>17</v>
      </c>
    </row>
    <row r="198" spans="1:12" x14ac:dyDescent="0.2">
      <c r="A198" s="44" t="s">
        <v>284</v>
      </c>
      <c r="B198" s="43" t="s">
        <v>39</v>
      </c>
      <c r="C198" s="55" t="s">
        <v>286</v>
      </c>
      <c r="D198" s="44" t="s">
        <v>46</v>
      </c>
      <c r="E198" s="44" t="s">
        <v>289</v>
      </c>
      <c r="F198" s="10" t="s">
        <v>19</v>
      </c>
      <c r="G198" s="44" t="s">
        <v>62</v>
      </c>
      <c r="H198" s="45">
        <v>2</v>
      </c>
      <c r="I198" s="46">
        <f>WORKDAY(J197,1)</f>
        <v>46262</v>
      </c>
      <c r="J198" s="46">
        <f t="shared" si="3"/>
        <v>46266</v>
      </c>
      <c r="K198" s="47">
        <f>H198/$O$8</f>
        <v>2</v>
      </c>
      <c r="L198" s="48" t="s">
        <v>17</v>
      </c>
    </row>
    <row r="199" spans="1:12" x14ac:dyDescent="0.2">
      <c r="A199" s="44" t="s">
        <v>284</v>
      </c>
      <c r="B199" s="43" t="s">
        <v>39</v>
      </c>
      <c r="C199" s="55" t="s">
        <v>286</v>
      </c>
      <c r="D199" s="44" t="s">
        <v>46</v>
      </c>
      <c r="E199" s="44" t="s">
        <v>290</v>
      </c>
      <c r="F199" s="10" t="s">
        <v>19</v>
      </c>
      <c r="G199" s="44" t="s">
        <v>13</v>
      </c>
      <c r="H199" s="45">
        <v>2</v>
      </c>
      <c r="I199" s="46">
        <v>46224</v>
      </c>
      <c r="J199" s="46">
        <f t="shared" si="3"/>
        <v>46226</v>
      </c>
      <c r="K199" s="47">
        <f>H199/$O$5</f>
        <v>2</v>
      </c>
      <c r="L199" s="48" t="s">
        <v>17</v>
      </c>
    </row>
    <row r="200" spans="1:12" x14ac:dyDescent="0.2">
      <c r="A200" s="44" t="s">
        <v>291</v>
      </c>
      <c r="B200" s="43" t="s">
        <v>39</v>
      </c>
      <c r="C200" s="55" t="s">
        <v>286</v>
      </c>
      <c r="D200" s="44" t="s">
        <v>50</v>
      </c>
      <c r="E200" s="44" t="s">
        <v>292</v>
      </c>
      <c r="F200" s="10" t="s">
        <v>25</v>
      </c>
      <c r="G200" s="44" t="s">
        <v>43</v>
      </c>
      <c r="H200" s="45">
        <v>1</v>
      </c>
      <c r="I200" s="46">
        <f>WORKDAY(J199,1)</f>
        <v>46227</v>
      </c>
      <c r="J200" s="46">
        <f t="shared" si="3"/>
        <v>46230</v>
      </c>
      <c r="K200" s="47">
        <f>H200/$O$5</f>
        <v>1</v>
      </c>
      <c r="L200" s="48" t="s">
        <v>17</v>
      </c>
    </row>
    <row r="201" spans="1:12" x14ac:dyDescent="0.2">
      <c r="A201" s="44" t="s">
        <v>291</v>
      </c>
      <c r="B201" s="43" t="s">
        <v>39</v>
      </c>
      <c r="C201" s="55" t="s">
        <v>293</v>
      </c>
      <c r="D201" s="44" t="s">
        <v>41</v>
      </c>
      <c r="E201" s="44" t="s">
        <v>294</v>
      </c>
      <c r="F201" s="10" t="s">
        <v>15</v>
      </c>
      <c r="G201" s="44" t="s">
        <v>43</v>
      </c>
      <c r="H201" s="45">
        <v>1</v>
      </c>
      <c r="I201" s="46">
        <f>WORKDAY(J197,1)</f>
        <v>46262</v>
      </c>
      <c r="J201" s="46">
        <f t="shared" si="3"/>
        <v>46265</v>
      </c>
      <c r="K201" s="47">
        <f>H201/$O$5</f>
        <v>1</v>
      </c>
      <c r="L201" s="48" t="s">
        <v>17</v>
      </c>
    </row>
    <row r="202" spans="1:12" x14ac:dyDescent="0.2">
      <c r="A202" s="44" t="s">
        <v>291</v>
      </c>
      <c r="B202" s="43" t="s">
        <v>39</v>
      </c>
      <c r="C202" s="55" t="s">
        <v>293</v>
      </c>
      <c r="D202" s="44" t="s">
        <v>41</v>
      </c>
      <c r="E202" s="44" t="s">
        <v>295</v>
      </c>
      <c r="F202" s="10" t="s">
        <v>19</v>
      </c>
      <c r="G202" s="44" t="s">
        <v>43</v>
      </c>
      <c r="H202" s="45">
        <v>1</v>
      </c>
      <c r="I202" s="46">
        <f>WORKDAY(J201,1)</f>
        <v>46266</v>
      </c>
      <c r="J202" s="46">
        <f t="shared" si="3"/>
        <v>46267</v>
      </c>
      <c r="K202" s="47">
        <f>H202/$O$5</f>
        <v>1</v>
      </c>
      <c r="L202" s="48" t="s">
        <v>17</v>
      </c>
    </row>
    <row r="203" spans="1:12" x14ac:dyDescent="0.2">
      <c r="A203" s="44" t="s">
        <v>291</v>
      </c>
      <c r="B203" s="43" t="s">
        <v>39</v>
      </c>
      <c r="C203" s="55" t="s">
        <v>293</v>
      </c>
      <c r="D203" s="44" t="s">
        <v>46</v>
      </c>
      <c r="E203" s="44" t="s">
        <v>296</v>
      </c>
      <c r="F203" s="10" t="str" cm="1">
        <f t="array" ref="F203">_xlfn.IFS(H203="","", H203&lt;=2,"Low", H203&lt;=5,"Mid", H203&lt;=8,"High", TRUE,"Out of Range")</f>
        <v>Low</v>
      </c>
      <c r="G203" s="44" t="s">
        <v>62</v>
      </c>
      <c r="H203" s="45">
        <v>1</v>
      </c>
      <c r="I203" s="46">
        <v>46226</v>
      </c>
      <c r="J203" s="46">
        <f t="shared" si="3"/>
        <v>46227</v>
      </c>
      <c r="K203" s="47">
        <f>H203/$O$8</f>
        <v>1</v>
      </c>
      <c r="L203" s="48" t="s">
        <v>17</v>
      </c>
    </row>
    <row r="204" spans="1:12" x14ac:dyDescent="0.2">
      <c r="A204" s="44" t="s">
        <v>291</v>
      </c>
      <c r="B204" s="43" t="s">
        <v>39</v>
      </c>
      <c r="C204" s="55" t="s">
        <v>293</v>
      </c>
      <c r="D204" s="44" t="s">
        <v>46</v>
      </c>
      <c r="E204" s="44" t="s">
        <v>297</v>
      </c>
      <c r="F204" s="10" t="str" cm="1">
        <f t="array" ref="F204">_xlfn.IFS(H204="","", H204&lt;=2,"Low", H204&lt;=5,"Mid", H204&lt;=8,"High", TRUE,"Out of Range")</f>
        <v>Low</v>
      </c>
      <c r="G204" s="44" t="s">
        <v>85</v>
      </c>
      <c r="H204" s="45">
        <v>1</v>
      </c>
      <c r="I204" s="46">
        <v>46226</v>
      </c>
      <c r="J204" s="46">
        <f t="shared" si="3"/>
        <v>46227</v>
      </c>
      <c r="K204" s="47">
        <f>H204/$O$5</f>
        <v>1</v>
      </c>
      <c r="L204" s="48" t="s">
        <v>17</v>
      </c>
    </row>
    <row r="205" spans="1:12" x14ac:dyDescent="0.2">
      <c r="A205" s="44" t="s">
        <v>291</v>
      </c>
      <c r="B205" s="43" t="s">
        <v>39</v>
      </c>
      <c r="C205" s="55" t="s">
        <v>293</v>
      </c>
      <c r="D205" s="44" t="s">
        <v>50</v>
      </c>
      <c r="E205" s="44" t="s">
        <v>298</v>
      </c>
      <c r="F205" s="10" t="str" cm="1">
        <f t="array" ref="F205">_xlfn.IFS(H205="","", H205&lt;=2,"Low", H205&lt;=5,"Mid", H205&lt;=8,"High", TRUE,"Out of Range")</f>
        <v>Low</v>
      </c>
      <c r="G205" s="44" t="s">
        <v>43</v>
      </c>
      <c r="H205" s="45">
        <v>1</v>
      </c>
      <c r="I205" s="46">
        <f>WORKDAY(J204,1)</f>
        <v>46230</v>
      </c>
      <c r="J205" s="46">
        <f t="shared" si="3"/>
        <v>46231</v>
      </c>
      <c r="K205" s="47">
        <f>H205/$O$5</f>
        <v>1</v>
      </c>
      <c r="L205" s="48" t="s">
        <v>17</v>
      </c>
    </row>
    <row r="206" spans="1:12" x14ac:dyDescent="0.2">
      <c r="A206" s="44" t="s">
        <v>291</v>
      </c>
      <c r="B206" s="43" t="s">
        <v>39</v>
      </c>
      <c r="C206" s="55" t="s">
        <v>299</v>
      </c>
      <c r="D206" s="44" t="s">
        <v>41</v>
      </c>
      <c r="E206" s="44" t="s">
        <v>300</v>
      </c>
      <c r="F206" s="10" t="str" cm="1">
        <f t="array" ref="F206">_xlfn.IFS(H206="","", H206&lt;=2,"Low", H206&lt;=5,"Mid", H206&lt;=8,"High", TRUE,"Out of Range")</f>
        <v>Low</v>
      </c>
      <c r="G206" s="44" t="s">
        <v>43</v>
      </c>
      <c r="H206" s="45">
        <v>1</v>
      </c>
      <c r="I206" s="46">
        <f>WORKDAY(J202,1)</f>
        <v>46268</v>
      </c>
      <c r="J206" s="46">
        <f t="shared" si="3"/>
        <v>46269</v>
      </c>
      <c r="K206" s="47">
        <f>H206/$O$5</f>
        <v>1</v>
      </c>
      <c r="L206" s="48" t="s">
        <v>17</v>
      </c>
    </row>
    <row r="207" spans="1:12" x14ac:dyDescent="0.2">
      <c r="A207" s="44" t="s">
        <v>291</v>
      </c>
      <c r="B207" s="43" t="s">
        <v>39</v>
      </c>
      <c r="C207" s="55" t="s">
        <v>299</v>
      </c>
      <c r="D207" s="44" t="s">
        <v>41</v>
      </c>
      <c r="E207" s="44" t="s">
        <v>301</v>
      </c>
      <c r="F207" s="10" t="str" cm="1">
        <f t="array" ref="F207">_xlfn.IFS(H207="","", H207&lt;=2,"Low", H207&lt;=5,"Mid", H207&lt;=8,"High", TRUE,"Out of Range")</f>
        <v>Low</v>
      </c>
      <c r="G207" s="44" t="s">
        <v>43</v>
      </c>
      <c r="H207" s="45">
        <v>1</v>
      </c>
      <c r="I207" s="46">
        <f>WORKDAY(J206,1)</f>
        <v>46272</v>
      </c>
      <c r="J207" s="46">
        <f t="shared" si="3"/>
        <v>46273</v>
      </c>
      <c r="K207" s="47">
        <f>H207/$O$5</f>
        <v>1</v>
      </c>
      <c r="L207" s="48" t="s">
        <v>17</v>
      </c>
    </row>
    <row r="208" spans="1:12" x14ac:dyDescent="0.2">
      <c r="A208" s="44" t="s">
        <v>291</v>
      </c>
      <c r="B208" s="43" t="s">
        <v>39</v>
      </c>
      <c r="C208" s="55" t="s">
        <v>299</v>
      </c>
      <c r="D208" s="44" t="s">
        <v>46</v>
      </c>
      <c r="E208" s="44" t="s">
        <v>302</v>
      </c>
      <c r="F208" s="10" t="str" cm="1">
        <f t="array" ref="F208">_xlfn.IFS(H208="","", H208&lt;=2,"Low", H208&lt;=5,"Mid", H208&lt;=8,"High", TRUE,"Out of Range")</f>
        <v>Low</v>
      </c>
      <c r="G208" s="44" t="s">
        <v>62</v>
      </c>
      <c r="H208" s="45">
        <v>1</v>
      </c>
      <c r="I208" s="46">
        <f>WORKDAY(J207,1)</f>
        <v>46274</v>
      </c>
      <c r="J208" s="46">
        <f t="shared" si="3"/>
        <v>46275</v>
      </c>
      <c r="K208" s="47">
        <f>H208/$O$8</f>
        <v>1</v>
      </c>
      <c r="L208" s="48" t="s">
        <v>17</v>
      </c>
    </row>
    <row r="209" spans="1:12" x14ac:dyDescent="0.2">
      <c r="A209" s="44" t="s">
        <v>303</v>
      </c>
      <c r="B209" s="43" t="s">
        <v>39</v>
      </c>
      <c r="C209" s="55" t="s">
        <v>299</v>
      </c>
      <c r="D209" s="44" t="s">
        <v>46</v>
      </c>
      <c r="E209" s="44" t="s">
        <v>304</v>
      </c>
      <c r="F209" s="10" t="s">
        <v>19</v>
      </c>
      <c r="G209" s="44" t="s">
        <v>13</v>
      </c>
      <c r="H209" s="45">
        <v>1</v>
      </c>
      <c r="I209" s="46">
        <f>WORKDAY(J207,1)</f>
        <v>46274</v>
      </c>
      <c r="J209" s="46">
        <f t="shared" si="3"/>
        <v>46275</v>
      </c>
      <c r="K209" s="47">
        <f>H209/$O$5</f>
        <v>1</v>
      </c>
      <c r="L209" s="48" t="s">
        <v>17</v>
      </c>
    </row>
    <row r="210" spans="1:12" x14ac:dyDescent="0.2">
      <c r="A210" s="44" t="s">
        <v>303</v>
      </c>
      <c r="B210" s="43" t="s">
        <v>39</v>
      </c>
      <c r="C210" s="55" t="s">
        <v>299</v>
      </c>
      <c r="D210" s="44" t="s">
        <v>50</v>
      </c>
      <c r="E210" s="44" t="s">
        <v>305</v>
      </c>
      <c r="F210" s="10" t="s">
        <v>19</v>
      </c>
      <c r="G210" s="44" t="s">
        <v>43</v>
      </c>
      <c r="H210" s="45">
        <v>1</v>
      </c>
      <c r="I210" s="46">
        <f>WORKDAY(J209,1)</f>
        <v>46276</v>
      </c>
      <c r="J210" s="46">
        <f t="shared" si="3"/>
        <v>46279</v>
      </c>
      <c r="K210" s="47">
        <f>H210/$O$5</f>
        <v>1</v>
      </c>
      <c r="L210" s="48" t="s">
        <v>17</v>
      </c>
    </row>
    <row r="211" spans="1:12" x14ac:dyDescent="0.2">
      <c r="A211" s="44" t="s">
        <v>303</v>
      </c>
      <c r="B211" s="43" t="s">
        <v>39</v>
      </c>
      <c r="C211" s="55" t="s">
        <v>306</v>
      </c>
      <c r="D211" s="44" t="s">
        <v>41</v>
      </c>
      <c r="E211" s="44" t="s">
        <v>307</v>
      </c>
      <c r="F211" s="10" t="s">
        <v>19</v>
      </c>
      <c r="G211" s="44" t="s">
        <v>43</v>
      </c>
      <c r="H211" s="45">
        <v>1</v>
      </c>
      <c r="I211" s="46">
        <f>WORKDAY(J207,1)</f>
        <v>46274</v>
      </c>
      <c r="J211" s="46">
        <f t="shared" si="3"/>
        <v>46275</v>
      </c>
      <c r="K211" s="47">
        <f>H211/$O$5</f>
        <v>1</v>
      </c>
      <c r="L211" s="48" t="s">
        <v>17</v>
      </c>
    </row>
    <row r="212" spans="1:12" x14ac:dyDescent="0.2">
      <c r="A212" s="44" t="s">
        <v>303</v>
      </c>
      <c r="B212" s="43" t="s">
        <v>39</v>
      </c>
      <c r="C212" s="55" t="s">
        <v>306</v>
      </c>
      <c r="D212" s="44" t="s">
        <v>41</v>
      </c>
      <c r="E212" s="44" t="s">
        <v>308</v>
      </c>
      <c r="F212" s="10" t="s">
        <v>25</v>
      </c>
      <c r="G212" s="44" t="s">
        <v>43</v>
      </c>
      <c r="H212" s="45">
        <v>1</v>
      </c>
      <c r="I212" s="46">
        <f>WORKDAY(J211,1)</f>
        <v>46276</v>
      </c>
      <c r="J212" s="46">
        <f t="shared" si="3"/>
        <v>46279</v>
      </c>
      <c r="K212" s="47">
        <f>H212/$O$5</f>
        <v>1</v>
      </c>
      <c r="L212" s="48" t="s">
        <v>17</v>
      </c>
    </row>
    <row r="213" spans="1:12" x14ac:dyDescent="0.2">
      <c r="A213" s="44" t="s">
        <v>303</v>
      </c>
      <c r="B213" s="43" t="s">
        <v>39</v>
      </c>
      <c r="C213" s="55" t="s">
        <v>306</v>
      </c>
      <c r="D213" s="44" t="s">
        <v>46</v>
      </c>
      <c r="E213" s="44" t="s">
        <v>309</v>
      </c>
      <c r="F213" s="10" t="s">
        <v>15</v>
      </c>
      <c r="G213" s="44" t="s">
        <v>62</v>
      </c>
      <c r="H213" s="45">
        <v>1.5</v>
      </c>
      <c r="I213" s="46">
        <f>WORKDAY(J212,1)</f>
        <v>46280</v>
      </c>
      <c r="J213" s="46">
        <f t="shared" si="3"/>
        <v>46281</v>
      </c>
      <c r="K213" s="47">
        <f>H213/$O$8</f>
        <v>1.5</v>
      </c>
      <c r="L213" s="48" t="s">
        <v>17</v>
      </c>
    </row>
    <row r="214" spans="1:12" x14ac:dyDescent="0.2">
      <c r="A214" s="44" t="s">
        <v>303</v>
      </c>
      <c r="B214" s="43" t="s">
        <v>39</v>
      </c>
      <c r="C214" s="55" t="s">
        <v>306</v>
      </c>
      <c r="D214" s="44" t="s">
        <v>46</v>
      </c>
      <c r="E214" s="44" t="s">
        <v>310</v>
      </c>
      <c r="F214" s="10" t="s">
        <v>19</v>
      </c>
      <c r="G214" s="44" t="s">
        <v>13</v>
      </c>
      <c r="H214" s="45">
        <v>2.5</v>
      </c>
      <c r="I214" s="46">
        <f>WORKDAY(J212,1)</f>
        <v>46280</v>
      </c>
      <c r="J214" s="46">
        <f t="shared" si="3"/>
        <v>46282</v>
      </c>
      <c r="K214" s="47">
        <f>H214/$O$5</f>
        <v>2.5</v>
      </c>
      <c r="L214" s="48" t="s">
        <v>17</v>
      </c>
    </row>
    <row r="215" spans="1:12" x14ac:dyDescent="0.2">
      <c r="A215" s="44" t="s">
        <v>311</v>
      </c>
      <c r="B215" s="43" t="s">
        <v>39</v>
      </c>
      <c r="C215" s="55" t="s">
        <v>306</v>
      </c>
      <c r="D215" s="44" t="s">
        <v>50</v>
      </c>
      <c r="E215" s="44" t="s">
        <v>312</v>
      </c>
      <c r="F215" s="10" t="str" cm="1">
        <f t="array" ref="F215">_xlfn.IFS(H215="","", H215&lt;=2,"Low", H215&lt;=5,"Mid", H215&lt;=8,"High", TRUE,"Out of Range")</f>
        <v>Low</v>
      </c>
      <c r="G215" s="44" t="s">
        <v>43</v>
      </c>
      <c r="H215" s="45">
        <v>1</v>
      </c>
      <c r="I215" s="46">
        <f>WORKDAY(J214,1)</f>
        <v>46283</v>
      </c>
      <c r="J215" s="46">
        <f t="shared" si="3"/>
        <v>46286</v>
      </c>
      <c r="K215" s="47">
        <f>H215/$O$5</f>
        <v>1</v>
      </c>
      <c r="L215" s="48" t="s">
        <v>17</v>
      </c>
    </row>
    <row r="216" spans="1:12" x14ac:dyDescent="0.2">
      <c r="A216" s="44" t="s">
        <v>267</v>
      </c>
      <c r="B216" s="43" t="s">
        <v>39</v>
      </c>
      <c r="C216" s="44" t="s">
        <v>271</v>
      </c>
      <c r="D216" s="44" t="s">
        <v>41</v>
      </c>
      <c r="E216" s="44" t="s">
        <v>272</v>
      </c>
      <c r="F216" s="10" t="str" cm="1">
        <f t="array" ref="F216">_xlfn.IFS(H216="","", H216&lt;=2,"Low", H216&lt;=5,"Mid", H216&lt;=8,"High", TRUE,"Out of Range")</f>
        <v>Low</v>
      </c>
      <c r="G216" s="44" t="s">
        <v>43</v>
      </c>
      <c r="H216" s="45">
        <v>1</v>
      </c>
      <c r="I216" s="46">
        <v>46447</v>
      </c>
      <c r="J216" s="46">
        <f t="shared" si="3"/>
        <v>46448</v>
      </c>
      <c r="K216" s="47">
        <v>1</v>
      </c>
      <c r="L216" s="43" t="s">
        <v>17</v>
      </c>
    </row>
    <row r="217" spans="1:12" x14ac:dyDescent="0.2">
      <c r="A217" s="44" t="s">
        <v>267</v>
      </c>
      <c r="B217" s="43" t="s">
        <v>39</v>
      </c>
      <c r="C217" s="44" t="s">
        <v>271</v>
      </c>
      <c r="D217" s="44" t="s">
        <v>41</v>
      </c>
      <c r="E217" s="44" t="s">
        <v>273</v>
      </c>
      <c r="F217" s="10" t="str" cm="1">
        <f t="array" ref="F217">_xlfn.IFS(H217="","", H217&lt;=2,"Low", H217&lt;=5,"Mid", H217&lt;=8,"High", TRUE,"Out of Range")</f>
        <v>Low</v>
      </c>
      <c r="G217" s="44" t="s">
        <v>43</v>
      </c>
      <c r="H217" s="45">
        <v>1</v>
      </c>
      <c r="I217" s="46">
        <f>WORKDAY(J216,1)</f>
        <v>46449</v>
      </c>
      <c r="J217" s="46">
        <f t="shared" si="3"/>
        <v>46450</v>
      </c>
      <c r="K217" s="47">
        <v>1</v>
      </c>
      <c r="L217" s="43" t="s">
        <v>17</v>
      </c>
    </row>
    <row r="218" spans="1:12" x14ac:dyDescent="0.2">
      <c r="A218" s="44" t="s">
        <v>274</v>
      </c>
      <c r="B218" s="43" t="s">
        <v>39</v>
      </c>
      <c r="C218" s="44" t="s">
        <v>271</v>
      </c>
      <c r="D218" s="44" t="s">
        <v>46</v>
      </c>
      <c r="E218" s="44" t="s">
        <v>275</v>
      </c>
      <c r="F218" s="10" t="str" cm="1">
        <f t="array" ref="F218">_xlfn.IFS(H218="","", H218&lt;=2,"Low", H218&lt;=5,"Mid", H218&lt;=8,"High", TRUE,"Out of Range")</f>
        <v>Mid</v>
      </c>
      <c r="G218" s="44" t="s">
        <v>313</v>
      </c>
      <c r="H218" s="45">
        <v>3</v>
      </c>
      <c r="I218" s="46">
        <f>WORKDAY(J217,1)</f>
        <v>46451</v>
      </c>
      <c r="J218" s="46">
        <f t="shared" si="3"/>
        <v>46456</v>
      </c>
      <c r="K218" s="47">
        <v>3</v>
      </c>
      <c r="L218" s="43" t="s">
        <v>17</v>
      </c>
    </row>
    <row r="219" spans="1:12" x14ac:dyDescent="0.2">
      <c r="A219" s="44" t="s">
        <v>274</v>
      </c>
      <c r="B219" s="43" t="s">
        <v>39</v>
      </c>
      <c r="C219" s="44" t="s">
        <v>271</v>
      </c>
      <c r="D219" s="44" t="s">
        <v>46</v>
      </c>
      <c r="E219" s="44" t="s">
        <v>276</v>
      </c>
      <c r="F219" s="10" t="str" cm="1">
        <f t="array" ref="F219">_xlfn.IFS(H219="","", H219&lt;=2,"Low", H219&lt;=5,"Mid", H219&lt;=8,"High", TRUE,"Out of Range")</f>
        <v>Mid</v>
      </c>
      <c r="G219" s="44" t="s">
        <v>85</v>
      </c>
      <c r="H219" s="45">
        <v>4</v>
      </c>
      <c r="I219" s="46">
        <f>WORKDAY(J217,1)</f>
        <v>46451</v>
      </c>
      <c r="J219" s="46">
        <f t="shared" si="3"/>
        <v>46457</v>
      </c>
      <c r="K219" s="47">
        <v>4</v>
      </c>
      <c r="L219" s="43" t="s">
        <v>17</v>
      </c>
    </row>
    <row r="220" spans="1:12" x14ac:dyDescent="0.2">
      <c r="A220" s="44" t="s">
        <v>274</v>
      </c>
      <c r="B220" s="43" t="s">
        <v>39</v>
      </c>
      <c r="C220" s="44" t="s">
        <v>271</v>
      </c>
      <c r="D220" s="44" t="s">
        <v>314</v>
      </c>
      <c r="E220" s="44" t="s">
        <v>277</v>
      </c>
      <c r="F220" s="10" t="str" cm="1">
        <f t="array" ref="F220">_xlfn.IFS(H220="","", H220&lt;=2,"Low", H220&lt;=5,"Mid", H220&lt;=8,"High", TRUE,"Out of Range")</f>
        <v>Low</v>
      </c>
      <c r="G220" s="44" t="s">
        <v>85</v>
      </c>
      <c r="H220" s="45">
        <v>2</v>
      </c>
      <c r="I220" s="46">
        <f>WORKDAY(J219,1)</f>
        <v>46458</v>
      </c>
      <c r="J220" s="46">
        <f t="shared" si="3"/>
        <v>46462</v>
      </c>
      <c r="K220" s="47">
        <v>2</v>
      </c>
      <c r="L220" s="43" t="s">
        <v>17</v>
      </c>
    </row>
    <row r="221" spans="1:12" x14ac:dyDescent="0.2">
      <c r="A221" s="44" t="s">
        <v>278</v>
      </c>
      <c r="B221" s="43" t="s">
        <v>39</v>
      </c>
      <c r="C221" s="44" t="s">
        <v>279</v>
      </c>
      <c r="D221" s="44" t="s">
        <v>41</v>
      </c>
      <c r="E221" s="44" t="s">
        <v>280</v>
      </c>
      <c r="F221" s="10" t="s">
        <v>19</v>
      </c>
      <c r="G221" s="44" t="s">
        <v>13</v>
      </c>
      <c r="H221" s="45">
        <v>1</v>
      </c>
      <c r="I221" s="46">
        <v>46447</v>
      </c>
      <c r="J221" s="46">
        <f t="shared" si="3"/>
        <v>46448</v>
      </c>
      <c r="K221" s="47">
        <v>1</v>
      </c>
      <c r="L221" s="43" t="s">
        <v>17</v>
      </c>
    </row>
    <row r="222" spans="1:12" x14ac:dyDescent="0.2">
      <c r="A222" s="44" t="s">
        <v>278</v>
      </c>
      <c r="B222" s="43" t="s">
        <v>39</v>
      </c>
      <c r="C222" s="44" t="s">
        <v>279</v>
      </c>
      <c r="D222" s="44" t="s">
        <v>41</v>
      </c>
      <c r="E222" s="44" t="s">
        <v>281</v>
      </c>
      <c r="F222" s="10" t="s">
        <v>19</v>
      </c>
      <c r="G222" s="44" t="s">
        <v>13</v>
      </c>
      <c r="H222" s="45">
        <v>1</v>
      </c>
      <c r="I222" s="46">
        <f>WORKDAY(J221,1)</f>
        <v>46449</v>
      </c>
      <c r="J222" s="46">
        <f t="shared" si="3"/>
        <v>46450</v>
      </c>
      <c r="K222" s="47">
        <v>1</v>
      </c>
      <c r="L222" s="43" t="s">
        <v>17</v>
      </c>
    </row>
    <row r="223" spans="1:12" x14ac:dyDescent="0.2">
      <c r="A223" s="44" t="s">
        <v>278</v>
      </c>
      <c r="B223" s="43" t="s">
        <v>39</v>
      </c>
      <c r="C223" s="44" t="s">
        <v>279</v>
      </c>
      <c r="D223" s="44" t="s">
        <v>46</v>
      </c>
      <c r="E223" s="44" t="s">
        <v>282</v>
      </c>
      <c r="F223" s="10" t="s">
        <v>19</v>
      </c>
      <c r="G223" s="44" t="s">
        <v>313</v>
      </c>
      <c r="H223" s="45">
        <v>1</v>
      </c>
      <c r="I223" s="46">
        <f>WORKDAY(J222,1)</f>
        <v>46451</v>
      </c>
      <c r="J223" s="46">
        <f t="shared" si="3"/>
        <v>46454</v>
      </c>
      <c r="K223" s="47">
        <v>1</v>
      </c>
      <c r="L223" s="43" t="s">
        <v>17</v>
      </c>
    </row>
    <row r="224" spans="1:12" x14ac:dyDescent="0.2">
      <c r="A224" s="44" t="s">
        <v>278</v>
      </c>
      <c r="B224" s="43" t="s">
        <v>39</v>
      </c>
      <c r="C224" s="44" t="s">
        <v>279</v>
      </c>
      <c r="D224" s="44" t="s">
        <v>46</v>
      </c>
      <c r="E224" s="44" t="s">
        <v>283</v>
      </c>
      <c r="F224" s="10" t="s">
        <v>25</v>
      </c>
      <c r="G224" s="44" t="s">
        <v>13</v>
      </c>
      <c r="H224" s="45">
        <v>3</v>
      </c>
      <c r="I224" s="46">
        <f>WORKDAY(J222,1)</f>
        <v>46451</v>
      </c>
      <c r="J224" s="46">
        <f t="shared" si="3"/>
        <v>46456</v>
      </c>
      <c r="K224" s="47">
        <v>3</v>
      </c>
      <c r="L224" s="43" t="s">
        <v>17</v>
      </c>
    </row>
    <row r="225" spans="1:12" x14ac:dyDescent="0.2">
      <c r="A225" s="44" t="s">
        <v>284</v>
      </c>
      <c r="B225" s="43" t="s">
        <v>39</v>
      </c>
      <c r="C225" s="44" t="s">
        <v>279</v>
      </c>
      <c r="D225" s="44" t="s">
        <v>314</v>
      </c>
      <c r="E225" s="44" t="s">
        <v>285</v>
      </c>
      <c r="F225" s="10" t="s">
        <v>15</v>
      </c>
      <c r="G225" s="44" t="s">
        <v>13</v>
      </c>
      <c r="H225" s="45">
        <v>1</v>
      </c>
      <c r="I225" s="46">
        <f>WORKDAY(J224,1)</f>
        <v>46457</v>
      </c>
      <c r="J225" s="46">
        <f t="shared" si="3"/>
        <v>46458</v>
      </c>
      <c r="K225" s="47">
        <v>1</v>
      </c>
      <c r="L225" s="43" t="s">
        <v>17</v>
      </c>
    </row>
    <row r="226" spans="1:12" x14ac:dyDescent="0.2">
      <c r="A226" s="44" t="s">
        <v>284</v>
      </c>
      <c r="B226" s="43" t="s">
        <v>39</v>
      </c>
      <c r="C226" s="44" t="s">
        <v>286</v>
      </c>
      <c r="D226" s="44" t="s">
        <v>41</v>
      </c>
      <c r="E226" s="44" t="s">
        <v>287</v>
      </c>
      <c r="F226" s="10" t="s">
        <v>19</v>
      </c>
      <c r="G226" s="44" t="s">
        <v>43</v>
      </c>
      <c r="H226" s="45">
        <v>1</v>
      </c>
      <c r="I226" s="46">
        <f>WORKDAY(J222,1)</f>
        <v>46451</v>
      </c>
      <c r="J226" s="46">
        <f t="shared" si="3"/>
        <v>46454</v>
      </c>
      <c r="K226" s="47">
        <v>1</v>
      </c>
      <c r="L226" s="43" t="s">
        <v>17</v>
      </c>
    </row>
    <row r="227" spans="1:12" x14ac:dyDescent="0.2">
      <c r="A227" s="44" t="s">
        <v>284</v>
      </c>
      <c r="B227" s="43" t="s">
        <v>39</v>
      </c>
      <c r="C227" s="44" t="s">
        <v>286</v>
      </c>
      <c r="D227" s="44" t="s">
        <v>41</v>
      </c>
      <c r="E227" s="44" t="s">
        <v>288</v>
      </c>
      <c r="F227" s="10" t="str" cm="1">
        <f t="array" ref="F227">_xlfn.IFS(H227="","", H227&lt;=2,"Low", H227&lt;=5,"Mid", H227&lt;=8,"High", TRUE,"Out of Range")</f>
        <v>Low</v>
      </c>
      <c r="G227" s="44" t="s">
        <v>43</v>
      </c>
      <c r="H227" s="45">
        <v>1</v>
      </c>
      <c r="I227" s="46">
        <f>WORKDAY(J226,1)</f>
        <v>46455</v>
      </c>
      <c r="J227" s="46">
        <f t="shared" si="3"/>
        <v>46456</v>
      </c>
      <c r="K227" s="47">
        <v>1</v>
      </c>
      <c r="L227" s="43" t="s">
        <v>17</v>
      </c>
    </row>
    <row r="228" spans="1:12" x14ac:dyDescent="0.2">
      <c r="A228" s="44" t="s">
        <v>284</v>
      </c>
      <c r="B228" s="43" t="s">
        <v>39</v>
      </c>
      <c r="C228" s="44" t="s">
        <v>286</v>
      </c>
      <c r="D228" s="44" t="s">
        <v>46</v>
      </c>
      <c r="E228" s="44" t="s">
        <v>289</v>
      </c>
      <c r="F228" s="10" t="str" cm="1">
        <f t="array" ref="F228">_xlfn.IFS(H228="","", H228&lt;=2,"Low", H228&lt;=5,"Mid", H228&lt;=8,"High", TRUE,"Out of Range")</f>
        <v>Low</v>
      </c>
      <c r="G228" s="44" t="s">
        <v>313</v>
      </c>
      <c r="H228" s="45">
        <v>2</v>
      </c>
      <c r="I228" s="46">
        <f>WORKDAY(J227,1)</f>
        <v>46457</v>
      </c>
      <c r="J228" s="46">
        <f t="shared" si="3"/>
        <v>46461</v>
      </c>
      <c r="K228" s="47">
        <v>2</v>
      </c>
      <c r="L228" s="43" t="s">
        <v>17</v>
      </c>
    </row>
    <row r="229" spans="1:12" x14ac:dyDescent="0.2">
      <c r="A229" s="44" t="s">
        <v>284</v>
      </c>
      <c r="B229" s="43" t="s">
        <v>39</v>
      </c>
      <c r="C229" s="44" t="s">
        <v>286</v>
      </c>
      <c r="D229" s="44" t="s">
        <v>46</v>
      </c>
      <c r="E229" s="44" t="s">
        <v>290</v>
      </c>
      <c r="F229" s="10" t="str" cm="1">
        <f t="array" ref="F229">_xlfn.IFS(H229="","", H229&lt;=2,"Low", H229&lt;=5,"Mid", H229&lt;=8,"High", TRUE,"Out of Range")</f>
        <v>Low</v>
      </c>
      <c r="G229" s="44" t="s">
        <v>85</v>
      </c>
      <c r="H229" s="45">
        <v>2</v>
      </c>
      <c r="I229" s="46">
        <f>WORKDAY(J227,1)</f>
        <v>46457</v>
      </c>
      <c r="J229" s="46">
        <f t="shared" si="3"/>
        <v>46461</v>
      </c>
      <c r="K229" s="47">
        <v>2</v>
      </c>
      <c r="L229" s="43" t="s">
        <v>17</v>
      </c>
    </row>
    <row r="230" spans="1:12" x14ac:dyDescent="0.2">
      <c r="A230" s="44" t="s">
        <v>291</v>
      </c>
      <c r="B230" s="43" t="s">
        <v>39</v>
      </c>
      <c r="C230" s="44" t="s">
        <v>286</v>
      </c>
      <c r="D230" s="44" t="s">
        <v>314</v>
      </c>
      <c r="E230" s="44" t="s">
        <v>292</v>
      </c>
      <c r="F230" s="10" t="str" cm="1">
        <f t="array" ref="F230">_xlfn.IFS(H230="","", H230&lt;=2,"Low", H230&lt;=5,"Mid", H230&lt;=8,"High", TRUE,"Out of Range")</f>
        <v>Low</v>
      </c>
      <c r="G230" s="44" t="s">
        <v>85</v>
      </c>
      <c r="H230" s="45">
        <v>1</v>
      </c>
      <c r="I230" s="46">
        <f>WORKDAY(J229,1)</f>
        <v>46462</v>
      </c>
      <c r="J230" s="46">
        <f t="shared" si="3"/>
        <v>46463</v>
      </c>
      <c r="K230" s="47">
        <v>1</v>
      </c>
      <c r="L230" s="43" t="s">
        <v>17</v>
      </c>
    </row>
    <row r="231" spans="1:12" x14ac:dyDescent="0.2">
      <c r="A231" s="44" t="s">
        <v>291</v>
      </c>
      <c r="B231" s="43" t="s">
        <v>39</v>
      </c>
      <c r="C231" s="44" t="s">
        <v>293</v>
      </c>
      <c r="D231" s="44" t="s">
        <v>41</v>
      </c>
      <c r="E231" s="44" t="s">
        <v>294</v>
      </c>
      <c r="F231" s="10" t="str" cm="1">
        <f t="array" ref="F231">_xlfn.IFS(H231="","", H231&lt;=2,"Low", H231&lt;=5,"Mid", H231&lt;=8,"High", TRUE,"Out of Range")</f>
        <v>Low</v>
      </c>
      <c r="G231" s="44" t="s">
        <v>43</v>
      </c>
      <c r="H231" s="45">
        <v>1</v>
      </c>
      <c r="I231" s="46">
        <f>WORKDAY(J227,1)</f>
        <v>46457</v>
      </c>
      <c r="J231" s="46">
        <f t="shared" si="3"/>
        <v>46458</v>
      </c>
      <c r="K231" s="47">
        <v>1</v>
      </c>
      <c r="L231" s="43" t="s">
        <v>17</v>
      </c>
    </row>
    <row r="232" spans="1:12" x14ac:dyDescent="0.2">
      <c r="A232" s="44" t="s">
        <v>291</v>
      </c>
      <c r="B232" s="43" t="s">
        <v>39</v>
      </c>
      <c r="C232" s="44" t="s">
        <v>293</v>
      </c>
      <c r="D232" s="44" t="s">
        <v>41</v>
      </c>
      <c r="E232" s="44" t="s">
        <v>295</v>
      </c>
      <c r="F232" s="10" t="str" cm="1">
        <f t="array" ref="F232">_xlfn.IFS(H232="","", H232&lt;=2,"Low", H232&lt;=5,"Mid", H232&lt;=8,"High", TRUE,"Out of Range")</f>
        <v>Low</v>
      </c>
      <c r="G232" s="44" t="s">
        <v>43</v>
      </c>
      <c r="H232" s="45">
        <v>1</v>
      </c>
      <c r="I232" s="46">
        <f>WORKDAY(J231,1)</f>
        <v>46461</v>
      </c>
      <c r="J232" s="46">
        <f t="shared" si="3"/>
        <v>46462</v>
      </c>
      <c r="K232" s="47">
        <v>1</v>
      </c>
      <c r="L232" s="43" t="s">
        <v>17</v>
      </c>
    </row>
    <row r="233" spans="1:12" x14ac:dyDescent="0.2">
      <c r="A233" s="44" t="s">
        <v>291</v>
      </c>
      <c r="B233" s="43" t="s">
        <v>39</v>
      </c>
      <c r="C233" s="44" t="s">
        <v>293</v>
      </c>
      <c r="D233" s="44" t="s">
        <v>46</v>
      </c>
      <c r="E233" s="44" t="s">
        <v>296</v>
      </c>
      <c r="F233" s="10" t="s">
        <v>19</v>
      </c>
      <c r="G233" s="44" t="s">
        <v>313</v>
      </c>
      <c r="H233" s="45">
        <v>1</v>
      </c>
      <c r="I233" s="46">
        <f>WORKDAY(J232,1)</f>
        <v>46463</v>
      </c>
      <c r="J233" s="46">
        <f t="shared" si="3"/>
        <v>46464</v>
      </c>
      <c r="K233" s="47">
        <v>1</v>
      </c>
      <c r="L233" s="43" t="s">
        <v>17</v>
      </c>
    </row>
    <row r="234" spans="1:12" x14ac:dyDescent="0.2">
      <c r="A234" s="44" t="s">
        <v>291</v>
      </c>
      <c r="B234" s="43" t="s">
        <v>39</v>
      </c>
      <c r="C234" s="44" t="s">
        <v>293</v>
      </c>
      <c r="D234" s="44" t="s">
        <v>46</v>
      </c>
      <c r="E234" s="44" t="s">
        <v>297</v>
      </c>
      <c r="F234" s="10" t="s">
        <v>19</v>
      </c>
      <c r="G234" s="44" t="s">
        <v>85</v>
      </c>
      <c r="H234" s="45">
        <v>1</v>
      </c>
      <c r="I234" s="46">
        <f>WORKDAY(J230,1)</f>
        <v>46464</v>
      </c>
      <c r="J234" s="46">
        <f t="shared" si="3"/>
        <v>46465</v>
      </c>
      <c r="K234" s="47">
        <v>1</v>
      </c>
      <c r="L234" s="43" t="s">
        <v>17</v>
      </c>
    </row>
    <row r="235" spans="1:12" x14ac:dyDescent="0.2">
      <c r="A235" s="44" t="s">
        <v>291</v>
      </c>
      <c r="B235" s="43" t="s">
        <v>39</v>
      </c>
      <c r="C235" s="44" t="s">
        <v>293</v>
      </c>
      <c r="D235" s="44" t="s">
        <v>314</v>
      </c>
      <c r="E235" s="44" t="s">
        <v>298</v>
      </c>
      <c r="F235" s="10" t="s">
        <v>19</v>
      </c>
      <c r="G235" s="44" t="s">
        <v>85</v>
      </c>
      <c r="H235" s="45">
        <v>1</v>
      </c>
      <c r="I235" s="46">
        <f>WORKDAY(J234,1)</f>
        <v>46468</v>
      </c>
      <c r="J235" s="46">
        <f t="shared" si="3"/>
        <v>46469</v>
      </c>
      <c r="K235" s="47">
        <v>1</v>
      </c>
      <c r="L235" s="43" t="s">
        <v>17</v>
      </c>
    </row>
    <row r="236" spans="1:12" x14ac:dyDescent="0.2">
      <c r="A236" s="44" t="s">
        <v>291</v>
      </c>
      <c r="B236" s="43" t="s">
        <v>39</v>
      </c>
      <c r="C236" s="44" t="s">
        <v>299</v>
      </c>
      <c r="D236" s="44" t="s">
        <v>41</v>
      </c>
      <c r="E236" s="44" t="s">
        <v>300</v>
      </c>
      <c r="F236" s="10" t="s">
        <v>25</v>
      </c>
      <c r="G236" s="44" t="s">
        <v>13</v>
      </c>
      <c r="H236" s="45">
        <v>1</v>
      </c>
      <c r="I236" s="46">
        <f>WORKDAY(J225,1)</f>
        <v>46461</v>
      </c>
      <c r="J236" s="46">
        <f t="shared" si="3"/>
        <v>46462</v>
      </c>
      <c r="K236" s="47">
        <v>1</v>
      </c>
      <c r="L236" s="43" t="s">
        <v>17</v>
      </c>
    </row>
    <row r="237" spans="1:12" x14ac:dyDescent="0.2">
      <c r="A237" s="44" t="s">
        <v>291</v>
      </c>
      <c r="B237" s="43" t="s">
        <v>39</v>
      </c>
      <c r="C237" s="44" t="s">
        <v>299</v>
      </c>
      <c r="D237" s="44" t="s">
        <v>41</v>
      </c>
      <c r="E237" s="44" t="s">
        <v>301</v>
      </c>
      <c r="F237" s="10" t="s">
        <v>15</v>
      </c>
      <c r="G237" s="44" t="s">
        <v>13</v>
      </c>
      <c r="H237" s="45">
        <v>1</v>
      </c>
      <c r="I237" s="46">
        <f>WORKDAY(J236,1)</f>
        <v>46463</v>
      </c>
      <c r="J237" s="46">
        <f t="shared" si="3"/>
        <v>46464</v>
      </c>
      <c r="K237" s="47">
        <v>1</v>
      </c>
      <c r="L237" s="43" t="s">
        <v>17</v>
      </c>
    </row>
    <row r="238" spans="1:12" x14ac:dyDescent="0.2">
      <c r="A238" s="44" t="s">
        <v>291</v>
      </c>
      <c r="B238" s="43" t="s">
        <v>39</v>
      </c>
      <c r="C238" s="44" t="s">
        <v>299</v>
      </c>
      <c r="D238" s="44" t="s">
        <v>46</v>
      </c>
      <c r="E238" s="44" t="s">
        <v>302</v>
      </c>
      <c r="F238" s="10" t="s">
        <v>19</v>
      </c>
      <c r="G238" s="44" t="s">
        <v>313</v>
      </c>
      <c r="H238" s="45">
        <v>1</v>
      </c>
      <c r="I238" s="46">
        <f>WORKDAY(J237,1)</f>
        <v>46465</v>
      </c>
      <c r="J238" s="46">
        <f t="shared" si="3"/>
        <v>46468</v>
      </c>
      <c r="K238" s="47">
        <v>1</v>
      </c>
      <c r="L238" s="43" t="s">
        <v>17</v>
      </c>
    </row>
    <row r="239" spans="1:12" x14ac:dyDescent="0.2">
      <c r="A239" s="44" t="s">
        <v>303</v>
      </c>
      <c r="B239" s="43" t="s">
        <v>39</v>
      </c>
      <c r="C239" s="44" t="s">
        <v>299</v>
      </c>
      <c r="D239" s="44" t="s">
        <v>46</v>
      </c>
      <c r="E239" s="44" t="s">
        <v>304</v>
      </c>
      <c r="F239" s="10" t="str" cm="1">
        <f t="array" ref="F239">_xlfn.IFS(H239="","", H239&lt;=2,"Low", H239&lt;=5,"Mid", H239&lt;=8,"High", TRUE,"Out of Range")</f>
        <v>Low</v>
      </c>
      <c r="G239" s="44" t="s">
        <v>85</v>
      </c>
      <c r="H239" s="45">
        <v>1</v>
      </c>
      <c r="I239" s="46">
        <f>WORKDAY(J237,1)</f>
        <v>46465</v>
      </c>
      <c r="J239" s="46">
        <f t="shared" si="3"/>
        <v>46468</v>
      </c>
      <c r="K239" s="47">
        <v>1</v>
      </c>
      <c r="L239" s="43" t="s">
        <v>17</v>
      </c>
    </row>
    <row r="240" spans="1:12" x14ac:dyDescent="0.2">
      <c r="A240" s="44" t="s">
        <v>303</v>
      </c>
      <c r="B240" s="43" t="s">
        <v>39</v>
      </c>
      <c r="C240" s="44" t="s">
        <v>299</v>
      </c>
      <c r="D240" s="44" t="s">
        <v>314</v>
      </c>
      <c r="E240" s="44" t="s">
        <v>305</v>
      </c>
      <c r="F240" s="10" t="str" cm="1">
        <f t="array" ref="F240">_xlfn.IFS(H240="","", H240&lt;=2,"Low", H240&lt;=5,"Mid", H240&lt;=8,"High", TRUE,"Out of Range")</f>
        <v>Low</v>
      </c>
      <c r="G240" s="44" t="s">
        <v>85</v>
      </c>
      <c r="H240" s="45">
        <v>1</v>
      </c>
      <c r="I240" s="46">
        <f>WORKDAY(J239,1)</f>
        <v>46469</v>
      </c>
      <c r="J240" s="46">
        <f t="shared" si="3"/>
        <v>46470</v>
      </c>
      <c r="K240" s="47">
        <v>1</v>
      </c>
      <c r="L240" s="43" t="s">
        <v>17</v>
      </c>
    </row>
    <row r="241" spans="1:12" x14ac:dyDescent="0.2">
      <c r="A241" s="44" t="s">
        <v>303</v>
      </c>
      <c r="B241" s="43" t="s">
        <v>39</v>
      </c>
      <c r="C241" s="44" t="s">
        <v>306</v>
      </c>
      <c r="D241" s="44" t="s">
        <v>41</v>
      </c>
      <c r="E241" s="44" t="s">
        <v>307</v>
      </c>
      <c r="F241" s="10" t="str" cm="1">
        <f t="array" ref="F241">_xlfn.IFS(H241="","", H241&lt;=2,"Low", H241&lt;=5,"Mid", H241&lt;=8,"High", TRUE,"Out of Range")</f>
        <v>Low</v>
      </c>
      <c r="G241" s="44" t="s">
        <v>43</v>
      </c>
      <c r="H241" s="45">
        <v>1</v>
      </c>
      <c r="I241" s="46">
        <f>WORKDAY(J232,1)</f>
        <v>46463</v>
      </c>
      <c r="J241" s="46">
        <f t="shared" si="3"/>
        <v>46464</v>
      </c>
      <c r="K241" s="47">
        <v>1</v>
      </c>
      <c r="L241" s="43" t="s">
        <v>17</v>
      </c>
    </row>
    <row r="242" spans="1:12" x14ac:dyDescent="0.2">
      <c r="A242" s="44" t="s">
        <v>303</v>
      </c>
      <c r="B242" s="43" t="s">
        <v>39</v>
      </c>
      <c r="C242" s="44" t="s">
        <v>306</v>
      </c>
      <c r="D242" s="44" t="s">
        <v>41</v>
      </c>
      <c r="E242" s="44" t="s">
        <v>308</v>
      </c>
      <c r="F242" s="10" t="str" cm="1">
        <f t="array" ref="F242">_xlfn.IFS(H242="","", H242&lt;=2,"Low", H242&lt;=5,"Mid", H242&lt;=8,"High", TRUE,"Out of Range")</f>
        <v>Low</v>
      </c>
      <c r="G242" s="44" t="s">
        <v>43</v>
      </c>
      <c r="H242" s="45">
        <v>1</v>
      </c>
      <c r="I242" s="46">
        <f>WORKDAY(J241,1)</f>
        <v>46465</v>
      </c>
      <c r="J242" s="46">
        <f t="shared" si="3"/>
        <v>46468</v>
      </c>
      <c r="K242" s="47">
        <v>1</v>
      </c>
      <c r="L242" s="43" t="s">
        <v>17</v>
      </c>
    </row>
    <row r="243" spans="1:12" x14ac:dyDescent="0.2">
      <c r="A243" s="44" t="s">
        <v>303</v>
      </c>
      <c r="B243" s="43" t="s">
        <v>39</v>
      </c>
      <c r="C243" s="44" t="s">
        <v>306</v>
      </c>
      <c r="D243" s="44" t="s">
        <v>46</v>
      </c>
      <c r="E243" s="44" t="s">
        <v>309</v>
      </c>
      <c r="F243" s="10" t="str" cm="1">
        <f t="array" ref="F243">_xlfn.IFS(H243="","", H243&lt;=2,"Low", H243&lt;=5,"Mid", H243&lt;=8,"High", TRUE,"Out of Range")</f>
        <v>Low</v>
      </c>
      <c r="G243" s="44" t="s">
        <v>313</v>
      </c>
      <c r="H243" s="45">
        <v>2</v>
      </c>
      <c r="I243" s="46">
        <f>WORKDAY(J242,1)</f>
        <v>46469</v>
      </c>
      <c r="J243" s="46">
        <f t="shared" si="3"/>
        <v>46471</v>
      </c>
      <c r="K243" s="47">
        <v>2</v>
      </c>
      <c r="L243" s="43" t="s">
        <v>17</v>
      </c>
    </row>
    <row r="244" spans="1:12" x14ac:dyDescent="0.2">
      <c r="A244" s="44" t="s">
        <v>303</v>
      </c>
      <c r="B244" s="43" t="s">
        <v>39</v>
      </c>
      <c r="C244" s="44" t="s">
        <v>306</v>
      </c>
      <c r="D244" s="44" t="s">
        <v>46</v>
      </c>
      <c r="E244" s="44" t="s">
        <v>310</v>
      </c>
      <c r="F244" s="10" t="str" cm="1">
        <f t="array" ref="F244">_xlfn.IFS(H244="","", H244&lt;=2,"Low", H244&lt;=5,"Mid", H244&lt;=8,"High", TRUE,"Out of Range")</f>
        <v>Mid</v>
      </c>
      <c r="G244" s="44" t="s">
        <v>13</v>
      </c>
      <c r="H244" s="45">
        <v>3</v>
      </c>
      <c r="I244" s="46">
        <f>WORKDAY(J242,1)</f>
        <v>46469</v>
      </c>
      <c r="J244" s="46">
        <f t="shared" si="3"/>
        <v>46472</v>
      </c>
      <c r="K244" s="47">
        <v>3</v>
      </c>
      <c r="L244" s="43" t="s">
        <v>17</v>
      </c>
    </row>
    <row r="245" spans="1:12" x14ac:dyDescent="0.2">
      <c r="A245" s="44" t="s">
        <v>303</v>
      </c>
      <c r="B245" s="43" t="s">
        <v>39</v>
      </c>
      <c r="C245" s="44" t="s">
        <v>306</v>
      </c>
      <c r="D245" s="44" t="s">
        <v>314</v>
      </c>
      <c r="E245" s="44" t="s">
        <v>312</v>
      </c>
      <c r="F245" s="10" t="s">
        <v>19</v>
      </c>
      <c r="G245" s="44" t="s">
        <v>13</v>
      </c>
      <c r="H245" s="45">
        <v>1</v>
      </c>
      <c r="I245" s="46">
        <f>WORKDAY(J244,1)</f>
        <v>46475</v>
      </c>
      <c r="J245" s="57">
        <f t="shared" si="3"/>
        <v>46476</v>
      </c>
      <c r="K245" s="47">
        <v>1</v>
      </c>
      <c r="L245" s="43" t="s">
        <v>17</v>
      </c>
    </row>
    <row r="246" spans="1:12" x14ac:dyDescent="0.2">
      <c r="A246" s="44" t="s">
        <v>315</v>
      </c>
      <c r="B246" s="43" t="s">
        <v>39</v>
      </c>
      <c r="C246" s="55" t="s">
        <v>316</v>
      </c>
      <c r="D246" s="44" t="s">
        <v>317</v>
      </c>
      <c r="F246" s="10" t="s">
        <v>19</v>
      </c>
      <c r="G246" s="44" t="s">
        <v>85</v>
      </c>
      <c r="H246" s="45"/>
      <c r="I246" s="46">
        <f>WORKDAY(J245,1)</f>
        <v>46477</v>
      </c>
      <c r="J246" s="57">
        <v>46507</v>
      </c>
      <c r="L246" s="48" t="s">
        <v>17</v>
      </c>
    </row>
  </sheetData>
  <autoFilter ref="A10:O246" xr:uid="{34BB96A7-53BD-4507-B62C-6AD24A499E83}">
    <filterColumn colId="1">
      <filters>
        <filter val="Mandate"/>
        <filter val="Shareholders' Meeting &amp; Management"/>
      </filters>
    </filterColumn>
  </autoFilter>
  <mergeCells count="4">
    <mergeCell ref="C1:L1"/>
    <mergeCell ref="J3:J4"/>
    <mergeCell ref="J5:J6"/>
    <mergeCell ref="D7:G7"/>
  </mergeCells>
  <phoneticPr fontId="3" type="noConversion"/>
  <dataValidations count="1">
    <dataValidation type="list" allowBlank="1" showInputMessage="1" showErrorMessage="1" sqref="L11:L215 L246" xr:uid="{C876E52D-DA52-4A3E-A94B-BF81C5C2A2B2}">
      <formula1>"Not Started,In progress,Completed"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Planning -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黃凱章 Kent K Huang</dc:creator>
  <cp:lastModifiedBy>黃凱章 Kent K Huang</cp:lastModifiedBy>
  <dcterms:created xsi:type="dcterms:W3CDTF">2025-12-15T02:48:23Z</dcterms:created>
  <dcterms:modified xsi:type="dcterms:W3CDTF">2025-12-15T02:50:05Z</dcterms:modified>
</cp:coreProperties>
</file>