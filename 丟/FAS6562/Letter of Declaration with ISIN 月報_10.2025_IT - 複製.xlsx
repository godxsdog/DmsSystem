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J:\OSM-Fund Administration\02. 專案\18.New MA_CG\Sample file\202510月報\"/>
    </mc:Choice>
  </mc:AlternateContent>
  <xr:revisionPtr revIDLastSave="0" documentId="8_{76A5B70B-2157-4512-8237-C9850ACCAE72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Capital Group Declaration" sheetId="3" r:id="rId1"/>
  </sheets>
  <definedNames>
    <definedName name="_xlnm.Print_Area" localSheetId="0">'Capital Group Declaration'!$A$1:$L$12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6" i="3" l="1"/>
  <c r="J3" i="3" l="1"/>
  <c r="L6" i="3"/>
  <c r="H4" i="3"/>
  <c r="H5" i="3"/>
  <c r="H6" i="3"/>
  <c r="H7" i="3"/>
  <c r="H8" i="3"/>
  <c r="H9" i="3"/>
  <c r="H10" i="3"/>
  <c r="H11" i="3"/>
  <c r="H12" i="3"/>
  <c r="H3" i="3"/>
  <c r="J6" i="3" l="1"/>
  <c r="E3" i="3"/>
  <c r="L3" i="3"/>
  <c r="E11" i="3"/>
  <c r="J11" i="3"/>
  <c r="L11" i="3"/>
  <c r="E10" i="3"/>
  <c r="J10" i="3"/>
  <c r="L10" i="3"/>
  <c r="L4" i="3"/>
  <c r="E4" i="3"/>
  <c r="J4" i="3"/>
  <c r="L5" i="3"/>
  <c r="J5" i="3"/>
  <c r="E5" i="3"/>
  <c r="J7" i="3"/>
  <c r="L7" i="3"/>
  <c r="E7" i="3"/>
  <c r="E9" i="3"/>
  <c r="J9" i="3"/>
  <c r="L9" i="3"/>
  <c r="E8" i="3"/>
  <c r="L8" i="3"/>
  <c r="J8" i="3"/>
  <c r="J12" i="3"/>
  <c r="L12" i="3"/>
  <c r="E12" i="3"/>
</calcChain>
</file>

<file path=xl/sharedStrings.xml><?xml version="1.0" encoding="utf-8"?>
<sst xmlns="http://schemas.openxmlformats.org/spreadsheetml/2006/main" count="38" uniqueCount="38">
  <si>
    <t>Fund Name</t>
    <phoneticPr fontId="4" type="noConversion"/>
  </si>
  <si>
    <t>Investments in securities listed on the securities markets located in China</t>
    <phoneticPr fontId="2" type="noConversion"/>
  </si>
  <si>
    <t>Limit 40%</t>
    <phoneticPr fontId="2" type="noConversion"/>
  </si>
  <si>
    <t>Limit 100%</t>
    <phoneticPr fontId="2" type="noConversion"/>
  </si>
  <si>
    <t>For hedging purpose-
All open positions in derivatives
(Numerator)</t>
    <phoneticPr fontId="2" type="noConversion"/>
  </si>
  <si>
    <t>The total market value of the relevant securities held by the offshore fund
(Denominator)</t>
    <phoneticPr fontId="2" type="noConversion"/>
  </si>
  <si>
    <t>All in USD</t>
    <phoneticPr fontId="2" type="noConversion"/>
  </si>
  <si>
    <t xml:space="preserve"> Fund Size
(USD)            </t>
    <phoneticPr fontId="2" type="noConversion"/>
  </si>
  <si>
    <t>Investments in Taiwan</t>
    <phoneticPr fontId="2" type="noConversion"/>
  </si>
  <si>
    <t>Limit 50%</t>
    <phoneticPr fontId="2" type="noConversion"/>
  </si>
  <si>
    <t>Limit 20%</t>
    <phoneticPr fontId="2" type="noConversion"/>
  </si>
  <si>
    <t>資本集團美國投資基金(盧森堡)
Capital Group Investment Company of America Fund (Lux)</t>
  </si>
  <si>
    <t>資本集團全球股票基金(盧森堡)
Capital Group Global Equity Fund (Lux)</t>
  </si>
  <si>
    <t>資本集團歐元債券基金(盧森堡)
Capital Group Euro Bond Fund (Lux)</t>
  </si>
  <si>
    <t>資本集團新興市場完全機會基金(盧森堡)
Capital Group Emerging Markets Total Opportunities (Lux)</t>
  </si>
  <si>
    <t>資本集團新興市場債券基金(盧森堡)
Capital Group Emerging Markets Debt Fund (Lux)</t>
  </si>
  <si>
    <t>資本集團新視野基金（盧森堡）
Capital Group New Perspective Fund (Lux)</t>
  </si>
  <si>
    <t>資本集團新興市場股票基金(盧森堡）
Capital Group Emerging Markets Equity Fund (Lux)</t>
  </si>
  <si>
    <t>資本集團新經濟基金(盧森堡）
Capital Group New Economy Fund (Lux)</t>
  </si>
  <si>
    <t>資本集團全球機會非投資等級債券基金 (盧森堡)
Capital Group Global High Income Opportunities (Lux)</t>
  </si>
  <si>
    <t>資本集團歐洲成長及收益基金(盧森堡)
Capital Group Europe Growth and Income Fund (Lux)</t>
  </si>
  <si>
    <t>Date: 31 October 2025</t>
  </si>
  <si>
    <t>For enhancing performance- 
fund's open positions in derivatives after netting
(USD)</t>
  </si>
  <si>
    <t>AB</t>
  </si>
  <si>
    <t>AC</t>
  </si>
  <si>
    <t>W</t>
  </si>
  <si>
    <t>X</t>
  </si>
  <si>
    <t>LU0174806348</t>
  </si>
  <si>
    <t>LU0157035477</t>
  </si>
  <si>
    <t>LU0292261301</t>
  </si>
  <si>
    <t>LU0100551489</t>
  </si>
  <si>
    <t>LU0302646574</t>
  </si>
  <si>
    <t>LU0114998999</t>
  </si>
  <si>
    <t>LU0110450813</t>
  </si>
  <si>
    <t>LU1378994856</t>
  </si>
  <si>
    <t>LU2050929863</t>
  </si>
  <si>
    <t>LU1295551573</t>
  </si>
  <si>
    <t>ISIN (Class B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</si>
</sst>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"/>
    <numFmt numFmtId="165" formatCode="_-[$$-409]* #,##0.00_ ;_-[$$-409]* \-#,##0.00\ ;_-[$$-409]* &quot;-&quot;??_ ;_-@_ "/>
  </numFmts>
  <fonts count="18"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1"/>
      <color theme="1"/>
      <name val="Calibri"/>
      <family val="2"/>
      <charset val="136"/>
      <scheme val="minor"/>
    </font>
    <font>
      <sz val="11"/>
      <color theme="1"/>
      <name val="Calibri"/>
      <family val="2"/>
    </font>
    <font>
      <sz val="10"/>
      <color theme="1"/>
      <name val="Calibri"/>
      <family val="2"/>
      <charset val="136"/>
      <scheme val="minor"/>
    </font>
    <font>
      <sz val="11"/>
      <color theme="1"/>
      <name val="AvenirNext LT Com Regular"/>
      <family val="2"/>
    </font>
    <font>
      <sz val="11"/>
      <name val="AvenirNext LT Com Regular"/>
      <family val="2"/>
    </font>
    <font>
      <b/>
      <sz val="11"/>
      <name val="AvenirNext LT Com Regular"/>
      <family val="2"/>
    </font>
    <font>
      <b/>
      <sz val="11"/>
      <color theme="1"/>
      <name val="AvenirNext LT Com Regular"/>
      <family val="2"/>
    </font>
    <font>
      <sz val="11"/>
      <color rgb="FF000000"/>
      <name val="AvenirNext LT Com Regular"/>
      <family val="2"/>
    </font>
    <font>
      <b/>
      <sz val="11"/>
      <color theme="1"/>
      <name val="Calibri"/>
      <family val="2"/>
      <scheme val="minor"/>
    </font>
    <font>
      <sz val="12"/>
      <color rgb="FFFF0000"/>
      <name val="Calibri"/>
      <family val="2"/>
      <charset val="136"/>
      <scheme val="minor"/>
    </font>
    <font>
      <sz val="11"/>
      <color rgb="FFFF0000"/>
      <name val="AvenirNext LT Com Regular"/>
      <family val="2"/>
    </font>
    <font>
      <sz val="12"/>
      <name val="Calibri"/>
      <family val="2"/>
      <scheme val="minor"/>
    </font>
    <font>
      <sz val="11"/>
      <color theme="1"/>
      <name val="Avenir Next LT Pro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6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43" fontId="3" fillId="0" borderId="0" applyFont="0" applyFill="0" applyBorder="0" applyAlignment="0" applyProtection="0"/>
  </cellStyleXfs>
  <cellXfs count="39">
    <xf numFmtId="0" fontId="0" fillId="0" borderId="0" xfId="0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3" borderId="0" xfId="0" applyFont="1" applyFill="1" applyAlignment="1">
      <alignment vertical="center" wrapText="1"/>
    </xf>
    <xf numFmtId="10" fontId="8" fillId="2" borderId="5" xfId="2" applyNumberFormat="1" applyFont="1" applyFill="1" applyBorder="1">
      <alignment vertical="center"/>
    </xf>
    <xf numFmtId="38" fontId="10" fillId="0" borderId="7" xfId="3" applyNumberFormat="1" applyFont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wrapText="1"/>
    </xf>
    <xf numFmtId="10" fontId="8" fillId="2" borderId="5" xfId="2" applyNumberFormat="1" applyFont="1" applyFill="1" applyBorder="1" applyAlignment="1">
      <alignment horizontal="right" vertical="center"/>
    </xf>
    <xf numFmtId="43" fontId="8" fillId="0" borderId="4" xfId="1" applyFont="1" applyBorder="1" applyAlignment="1" applyProtection="1">
      <alignment horizontal="center" vertical="center"/>
      <protection locked="0"/>
    </xf>
    <xf numFmtId="43" fontId="9" fillId="0" borderId="1" xfId="1" applyFont="1" applyFill="1" applyBorder="1" applyAlignment="1">
      <alignment vertical="center"/>
    </xf>
    <xf numFmtId="43" fontId="9" fillId="0" borderId="4" xfId="1" applyFont="1" applyBorder="1" applyAlignment="1" applyProtection="1">
      <alignment horizontal="center" vertical="center"/>
      <protection locked="0"/>
    </xf>
    <xf numFmtId="43" fontId="8" fillId="0" borderId="4" xfId="1" applyFont="1" applyFill="1" applyBorder="1" applyAlignment="1" applyProtection="1">
      <alignment horizontal="center" vertical="center"/>
      <protection locked="0"/>
    </xf>
    <xf numFmtId="0" fontId="8" fillId="6" borderId="0" xfId="0" applyFont="1" applyFill="1" applyProtection="1">
      <alignment vertical="center"/>
      <protection locked="0"/>
    </xf>
    <xf numFmtId="43" fontId="9" fillId="0" borderId="8" xfId="1" applyFont="1" applyFill="1" applyBorder="1" applyAlignment="1">
      <alignment vertical="center"/>
    </xf>
    <xf numFmtId="0" fontId="12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43" fontId="8" fillId="0" borderId="4" xfId="1" applyFont="1" applyFill="1" applyBorder="1" applyAlignment="1" applyProtection="1">
      <alignment horizontal="center" vertical="center"/>
    </xf>
    <xf numFmtId="0" fontId="13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165" fontId="5" fillId="0" borderId="0" xfId="0" applyNumberFormat="1" applyFont="1" applyAlignment="1">
      <alignment horizontal="right" vertical="center"/>
    </xf>
    <xf numFmtId="43" fontId="9" fillId="0" borderId="4" xfId="1" applyFont="1" applyFill="1" applyBorder="1" applyAlignment="1">
      <alignment vertical="center"/>
    </xf>
    <xf numFmtId="0" fontId="15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>
      <alignment vertical="center"/>
    </xf>
    <xf numFmtId="0" fontId="16" fillId="0" borderId="0" xfId="4" applyFont="1"/>
    <xf numFmtId="0" fontId="10" fillId="0" borderId="9" xfId="3" applyFont="1" applyBorder="1" applyAlignment="1">
      <alignment horizontal="center" vertical="center" wrapText="1"/>
    </xf>
    <xf numFmtId="0" fontId="9" fillId="0" borderId="10" xfId="0" applyFont="1" applyBorder="1" applyAlignment="1">
      <alignment wrapText="1"/>
    </xf>
    <xf numFmtId="0" fontId="9" fillId="0" borderId="11" xfId="0" applyFont="1" applyBorder="1" applyAlignment="1">
      <alignment wrapText="1"/>
    </xf>
    <xf numFmtId="0" fontId="17" fillId="0" borderId="0" xfId="0" applyFont="1">
      <alignment vertical="center"/>
    </xf>
    <xf numFmtId="38" fontId="10" fillId="0" borderId="12" xfId="3" applyNumberFormat="1" applyFont="1" applyBorder="1" applyAlignment="1">
      <alignment horizontal="center" vertical="center" wrapText="1"/>
    </xf>
  </cellXfs>
  <cellStyles count="6">
    <cellStyle name="Comma 2" xfId="5" xr:uid="{00000000-0005-0000-0000-000001000000}"/>
    <cellStyle name="Normal 2" xfId="4" xr:uid="{00000000-0005-0000-0000-000003000000}"/>
    <cellStyle name="一般" xfId="0" builtinId="0"/>
    <cellStyle name="一般_Sheet1_SITCA survey 20110131_Threadneedle" xfId="3" xr:uid="{00000000-0005-0000-0000-000005000000}"/>
    <cellStyle name="千分位" xfId="1" builtinId="3"/>
    <cellStyle name="百分比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1638300</xdr:colOff>
      <xdr:row>1</xdr:row>
      <xdr:rowOff>967740</xdr:rowOff>
    </xdr:from>
    <xdr:to>
      <xdr:col>5</xdr:col>
      <xdr:colOff>53340</xdr:colOff>
      <xdr:row>2</xdr:row>
      <xdr:rowOff>47780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7C29753A-F62E-F7FA-22ED-3F835707D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40140" y="1173480"/>
          <a:ext cx="1104900" cy="489740"/>
        </a:xfrm>
        <a:prstGeom prst="rect">
          <a:avLst/>
        </a:prstGeom>
      </xdr:spPr>
    </xdr:pic>
    <xdr:clientData/>
  </xdr:twoCellAnchor>
  <xdr:twoCellAnchor editAs="oneCell">
    <xdr:from>
      <xdr:col>6</xdr:col>
      <xdr:colOff>1813560</xdr:colOff>
      <xdr:row>1</xdr:row>
      <xdr:rowOff>1005840</xdr:rowOff>
    </xdr:from>
    <xdr:to>
      <xdr:col>8</xdr:col>
      <xdr:colOff>213360</xdr:colOff>
      <xdr:row>2</xdr:row>
      <xdr:rowOff>27584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512E996C-0AE9-C4AD-00F1-C59CDAEE5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17880" y="1211580"/>
          <a:ext cx="1135380" cy="431444"/>
        </a:xfrm>
        <a:prstGeom prst="rect">
          <a:avLst/>
        </a:prstGeom>
      </xdr:spPr>
    </xdr:pic>
    <xdr:clientData/>
  </xdr:twoCellAnchor>
  <xdr:twoCellAnchor editAs="oneCell">
    <xdr:from>
      <xdr:col>8</xdr:col>
      <xdr:colOff>1432561</xdr:colOff>
      <xdr:row>1</xdr:row>
      <xdr:rowOff>982980</xdr:rowOff>
    </xdr:from>
    <xdr:to>
      <xdr:col>10</xdr:col>
      <xdr:colOff>129541</xdr:colOff>
      <xdr:row>2</xdr:row>
      <xdr:rowOff>40538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CF024997-1A88-161C-24E0-2D3F75232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872461" y="1188720"/>
          <a:ext cx="960120" cy="467258"/>
        </a:xfrm>
        <a:prstGeom prst="rect">
          <a:avLst/>
        </a:prstGeom>
      </xdr:spPr>
    </xdr:pic>
    <xdr:clientData/>
  </xdr:twoCellAnchor>
  <xdr:twoCellAnchor editAs="oneCell">
    <xdr:from>
      <xdr:col>10</xdr:col>
      <xdr:colOff>1478280</xdr:colOff>
      <xdr:row>1</xdr:row>
      <xdr:rowOff>988274</xdr:rowOff>
    </xdr:from>
    <xdr:to>
      <xdr:col>12</xdr:col>
      <xdr:colOff>144780</xdr:colOff>
      <xdr:row>2</xdr:row>
      <xdr:rowOff>4941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66548F9C-3085-24C4-9D1C-08CEFA9DF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181320" y="1194014"/>
          <a:ext cx="906780" cy="4263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5"/>
  <sheetViews>
    <sheetView tabSelected="1" zoomScaleNormal="100" workbookViewId="0">
      <pane xSplit="3" topLeftCell="D1" activePane="topRight" state="frozen"/>
      <selection pane="topRight" activeCell="M4" sqref="M4"/>
    </sheetView>
  </sheetViews>
  <sheetFormatPr defaultColWidth="9" defaultRowHeight="14.4"/>
  <cols>
    <col min="1" max="1" width="24" style="1" customWidth="1"/>
    <col min="2" max="2" width="48.19921875" style="1" bestFit="1" customWidth="1"/>
    <col min="3" max="3" width="21" style="1" customWidth="1"/>
    <col min="4" max="4" width="21.59765625" style="1" bestFit="1" customWidth="1"/>
    <col min="5" max="5" width="13.69921875" style="1" bestFit="1" customWidth="1"/>
    <col min="6" max="6" width="25.09765625" style="1" bestFit="1" customWidth="1"/>
    <col min="7" max="7" width="25.3984375" style="1" bestFit="1" customWidth="1"/>
    <col min="8" max="8" width="10.5" style="1" customWidth="1"/>
    <col min="9" max="9" width="20.19921875" style="1" bestFit="1" customWidth="1"/>
    <col min="10" max="10" width="9.5" style="1" bestFit="1" customWidth="1"/>
    <col min="11" max="11" width="19.8984375" style="1" bestFit="1" customWidth="1"/>
    <col min="12" max="12" width="9.5" style="1" bestFit="1" customWidth="1"/>
    <col min="13" max="21" width="20" style="1" customWidth="1"/>
    <col min="22" max="16384" width="9" style="1"/>
  </cols>
  <sheetData>
    <row r="1" spans="1:12" ht="16.2" thickBot="1">
      <c r="A1" s="37"/>
      <c r="B1" s="18" t="s">
        <v>21</v>
      </c>
      <c r="C1" s="21"/>
      <c r="D1" s="20"/>
      <c r="E1" s="30" t="s">
        <v>23</v>
      </c>
      <c r="F1" s="30"/>
      <c r="G1" s="30"/>
      <c r="H1" s="30" t="s">
        <v>24</v>
      </c>
      <c r="I1" s="30"/>
      <c r="J1" s="30" t="s">
        <v>25</v>
      </c>
      <c r="K1" s="31"/>
      <c r="L1" s="32" t="s">
        <v>26</v>
      </c>
    </row>
    <row r="2" spans="1:12" ht="111" customHeight="1">
      <c r="A2" s="38" t="s">
        <v>37</v>
      </c>
      <c r="B2" s="34" t="s">
        <v>0</v>
      </c>
      <c r="C2" s="6" t="s">
        <v>7</v>
      </c>
      <c r="D2" s="7" t="s">
        <v>22</v>
      </c>
      <c r="E2" s="8" t="s">
        <v>2</v>
      </c>
      <c r="F2" s="9" t="s">
        <v>4</v>
      </c>
      <c r="G2" s="10" t="s">
        <v>5</v>
      </c>
      <c r="H2" s="11" t="s">
        <v>3</v>
      </c>
      <c r="I2" s="7" t="s">
        <v>8</v>
      </c>
      <c r="J2" s="8" t="s">
        <v>9</v>
      </c>
      <c r="K2" s="9" t="s">
        <v>1</v>
      </c>
      <c r="L2" s="11" t="s">
        <v>10</v>
      </c>
    </row>
    <row r="3" spans="1:12" s="2" customFormat="1" ht="27.6">
      <c r="A3" s="12" t="s">
        <v>33</v>
      </c>
      <c r="B3" s="35" t="s">
        <v>19</v>
      </c>
      <c r="C3" s="15">
        <v>2030917869.74</v>
      </c>
      <c r="D3" s="29">
        <v>305450047.60889602</v>
      </c>
      <c r="E3" s="5">
        <f>$D3/$C3</f>
        <v>0.15040000000000001</v>
      </c>
      <c r="F3" s="14">
        <v>136272332.72999999</v>
      </c>
      <c r="G3" s="14">
        <v>1890664185.29</v>
      </c>
      <c r="H3" s="13">
        <f>IF(G3=0,"0.00%",$F3/$G3)</f>
        <v>7.2076434191880479E-2</v>
      </c>
      <c r="I3" s="14">
        <v>0</v>
      </c>
      <c r="J3" s="5">
        <f>$I3/$C3</f>
        <v>0</v>
      </c>
      <c r="K3" s="14">
        <v>4028238.74</v>
      </c>
      <c r="L3" s="5">
        <f>$K3/$C3</f>
        <v>1.9834572338051754E-3</v>
      </c>
    </row>
    <row r="4" spans="1:12" s="2" customFormat="1" ht="27.6">
      <c r="A4" s="12" t="s">
        <v>27</v>
      </c>
      <c r="B4" s="35" t="s">
        <v>13</v>
      </c>
      <c r="C4" s="15">
        <v>674296100.50853646</v>
      </c>
      <c r="D4" s="29">
        <v>106943361.54065387</v>
      </c>
      <c r="E4" s="5">
        <f t="shared" ref="E4:E12" si="0">$D4/$C4</f>
        <v>0.15859999999999999</v>
      </c>
      <c r="F4" s="16">
        <v>106481758.15000001</v>
      </c>
      <c r="G4" s="16">
        <v>523471474.02999997</v>
      </c>
      <c r="H4" s="13">
        <f t="shared" ref="H4:H12" si="1">IF(G4=0,"0.00%",$F4/$G4)</f>
        <v>0.20341463371487856</v>
      </c>
      <c r="I4" s="16">
        <v>0</v>
      </c>
      <c r="J4" s="5">
        <f t="shared" ref="J4:J12" si="2">$I4/$C4</f>
        <v>0</v>
      </c>
      <c r="K4" s="16">
        <v>0</v>
      </c>
      <c r="L4" s="5">
        <f t="shared" ref="L4:L12" si="3">$K4/$C4</f>
        <v>0</v>
      </c>
    </row>
    <row r="5" spans="1:12" s="2" customFormat="1" ht="27.6">
      <c r="A5" s="12" t="s">
        <v>29</v>
      </c>
      <c r="B5" s="35" t="s">
        <v>15</v>
      </c>
      <c r="C5" s="15">
        <v>1477254237.3399999</v>
      </c>
      <c r="D5" s="29">
        <v>245815105.09337598</v>
      </c>
      <c r="E5" s="5">
        <f t="shared" si="0"/>
        <v>0.16639999999999999</v>
      </c>
      <c r="F5" s="14">
        <v>59767536.109999999</v>
      </c>
      <c r="G5" s="14">
        <v>1386785584.54</v>
      </c>
      <c r="H5" s="13">
        <f t="shared" si="1"/>
        <v>4.3097892548273807E-2</v>
      </c>
      <c r="I5" s="14">
        <v>0</v>
      </c>
      <c r="J5" s="5">
        <f t="shared" si="2"/>
        <v>0</v>
      </c>
      <c r="K5" s="14">
        <v>22315152.050000001</v>
      </c>
      <c r="L5" s="5">
        <f t="shared" si="3"/>
        <v>1.5105830456226351E-2</v>
      </c>
    </row>
    <row r="6" spans="1:12" s="2" customFormat="1" ht="27.6">
      <c r="A6" s="12" t="s">
        <v>35</v>
      </c>
      <c r="B6" s="35" t="s">
        <v>18</v>
      </c>
      <c r="C6" s="15">
        <v>1250360197.5799999</v>
      </c>
      <c r="D6" s="17"/>
      <c r="E6" s="5">
        <f>$D6/$C6</f>
        <v>0</v>
      </c>
      <c r="F6" s="14"/>
      <c r="G6" s="14"/>
      <c r="H6" s="13" t="str">
        <f t="shared" si="1"/>
        <v>0.00%</v>
      </c>
      <c r="I6" s="17">
        <v>46420931.649999999</v>
      </c>
      <c r="J6" s="5">
        <f t="shared" si="2"/>
        <v>3.7126047150129245E-2</v>
      </c>
      <c r="K6" s="17"/>
      <c r="L6" s="5">
        <f t="shared" si="3"/>
        <v>0</v>
      </c>
    </row>
    <row r="7" spans="1:12" s="2" customFormat="1" ht="27.6">
      <c r="A7" s="12" t="s">
        <v>32</v>
      </c>
      <c r="B7" s="35" t="s">
        <v>12</v>
      </c>
      <c r="C7" s="15">
        <v>726498759.13</v>
      </c>
      <c r="D7" s="17"/>
      <c r="E7" s="5">
        <f t="shared" si="0"/>
        <v>0</v>
      </c>
      <c r="F7" s="14"/>
      <c r="G7" s="14"/>
      <c r="H7" s="13" t="str">
        <f t="shared" si="1"/>
        <v>0.00%</v>
      </c>
      <c r="I7" s="17">
        <v>0</v>
      </c>
      <c r="J7" s="5">
        <f t="shared" si="2"/>
        <v>0</v>
      </c>
      <c r="K7" s="17">
        <v>0</v>
      </c>
      <c r="L7" s="5">
        <f t="shared" si="3"/>
        <v>0</v>
      </c>
    </row>
    <row r="8" spans="1:12" s="2" customFormat="1" ht="27.6">
      <c r="A8" s="12" t="s">
        <v>34</v>
      </c>
      <c r="B8" s="35" t="s">
        <v>11</v>
      </c>
      <c r="C8" s="15">
        <v>914321537.73000002</v>
      </c>
      <c r="D8" s="22"/>
      <c r="E8" s="5">
        <f t="shared" si="0"/>
        <v>0</v>
      </c>
      <c r="F8" s="14"/>
      <c r="G8" s="14"/>
      <c r="H8" s="13" t="str">
        <f t="shared" si="1"/>
        <v>0.00%</v>
      </c>
      <c r="I8" s="17">
        <v>10838194.199999999</v>
      </c>
      <c r="J8" s="5">
        <f t="shared" si="2"/>
        <v>1.1853810451526876E-2</v>
      </c>
      <c r="K8" s="17">
        <v>0</v>
      </c>
      <c r="L8" s="5">
        <f t="shared" si="3"/>
        <v>0</v>
      </c>
    </row>
    <row r="9" spans="1:12" s="2" customFormat="1" ht="27.6">
      <c r="A9" s="12" t="s">
        <v>28</v>
      </c>
      <c r="B9" s="35" t="s">
        <v>20</v>
      </c>
      <c r="C9" s="15">
        <v>166137534.1962947</v>
      </c>
      <c r="D9" s="17">
        <v>0</v>
      </c>
      <c r="E9" s="5">
        <f t="shared" si="0"/>
        <v>0</v>
      </c>
      <c r="F9" s="14">
        <v>0</v>
      </c>
      <c r="G9" s="14">
        <v>0</v>
      </c>
      <c r="H9" s="13" t="str">
        <f t="shared" si="1"/>
        <v>0.00%</v>
      </c>
      <c r="I9" s="14">
        <v>0</v>
      </c>
      <c r="J9" s="5">
        <f t="shared" si="2"/>
        <v>0</v>
      </c>
      <c r="K9" s="14">
        <v>0</v>
      </c>
      <c r="L9" s="5">
        <f t="shared" si="3"/>
        <v>0</v>
      </c>
    </row>
    <row r="10" spans="1:12" s="2" customFormat="1" ht="27.6">
      <c r="A10" s="12" t="s">
        <v>31</v>
      </c>
      <c r="B10" s="35" t="s">
        <v>14</v>
      </c>
      <c r="C10" s="15">
        <v>663943672.5</v>
      </c>
      <c r="D10" s="17">
        <v>15801859.41</v>
      </c>
      <c r="E10" s="5">
        <f t="shared" si="0"/>
        <v>2.3800000006777684E-2</v>
      </c>
      <c r="F10" s="17">
        <v>0</v>
      </c>
      <c r="G10" s="17">
        <v>359497373.55000001</v>
      </c>
      <c r="H10" s="13">
        <f t="shared" si="1"/>
        <v>0</v>
      </c>
      <c r="I10" s="17">
        <v>25026137.68</v>
      </c>
      <c r="J10" s="5">
        <f t="shared" si="2"/>
        <v>3.769316391820874E-2</v>
      </c>
      <c r="K10" s="17">
        <v>18157123.52</v>
      </c>
      <c r="L10" s="5">
        <f t="shared" si="3"/>
        <v>2.7347385436525866E-2</v>
      </c>
    </row>
    <row r="11" spans="1:12" s="2" customFormat="1" ht="27.6">
      <c r="A11" s="12" t="s">
        <v>30</v>
      </c>
      <c r="B11" s="35" t="s">
        <v>17</v>
      </c>
      <c r="C11" s="15">
        <v>257289544.65000001</v>
      </c>
      <c r="D11" s="17"/>
      <c r="E11" s="5">
        <f t="shared" si="0"/>
        <v>0</v>
      </c>
      <c r="F11" s="14"/>
      <c r="G11" s="14"/>
      <c r="H11" s="13" t="str">
        <f t="shared" si="1"/>
        <v>0.00%</v>
      </c>
      <c r="I11" s="17">
        <v>38860982.219999999</v>
      </c>
      <c r="J11" s="5">
        <f t="shared" si="2"/>
        <v>0.15103988105254706</v>
      </c>
      <c r="K11" s="17">
        <v>12395381.539999999</v>
      </c>
      <c r="L11" s="5">
        <f t="shared" si="3"/>
        <v>4.817677903259486E-2</v>
      </c>
    </row>
    <row r="12" spans="1:12" s="2" customFormat="1" ht="28.2" thickBot="1">
      <c r="A12" s="12" t="s">
        <v>36</v>
      </c>
      <c r="B12" s="36" t="s">
        <v>16</v>
      </c>
      <c r="C12" s="15">
        <v>19570504972.150002</v>
      </c>
      <c r="D12" s="17"/>
      <c r="E12" s="5">
        <f t="shared" si="0"/>
        <v>0</v>
      </c>
      <c r="F12" s="14"/>
      <c r="G12" s="14"/>
      <c r="H12" s="13" t="str">
        <f t="shared" si="1"/>
        <v>0.00%</v>
      </c>
      <c r="I12" s="17">
        <v>767654649.34000003</v>
      </c>
      <c r="J12" s="5">
        <f t="shared" si="2"/>
        <v>3.9225081337064038E-2</v>
      </c>
      <c r="K12" s="17">
        <v>39474392.990000002</v>
      </c>
      <c r="L12" s="5">
        <f t="shared" si="3"/>
        <v>2.0170349741191872E-3</v>
      </c>
    </row>
    <row r="13" spans="1:12">
      <c r="B13" s="4" t="s">
        <v>6</v>
      </c>
      <c r="C13" s="19"/>
      <c r="D13" s="3"/>
      <c r="E13" s="3"/>
      <c r="F13" s="3"/>
      <c r="G13" s="3"/>
      <c r="H13" s="3"/>
      <c r="I13" s="3"/>
      <c r="J13" s="3"/>
      <c r="K13" s="3"/>
      <c r="L13" s="3"/>
    </row>
    <row r="15" spans="1:12">
      <c r="B15" s="23"/>
      <c r="C15" s="24"/>
      <c r="D15" s="24"/>
      <c r="E15" s="24"/>
    </row>
    <row r="16" spans="1:12">
      <c r="B16" s="25"/>
      <c r="C16" s="26"/>
      <c r="D16" s="27"/>
      <c r="E16" s="27"/>
    </row>
    <row r="17" spans="2:9">
      <c r="B17" s="27"/>
      <c r="C17" s="28"/>
      <c r="D17" s="28"/>
      <c r="E17" s="28"/>
    </row>
    <row r="18" spans="2:9">
      <c r="B18" s="27"/>
      <c r="C18" s="28"/>
      <c r="D18" s="28"/>
      <c r="E18" s="28"/>
    </row>
    <row r="19" spans="2:9" ht="15.6">
      <c r="B19" s="33"/>
      <c r="C19" s="33"/>
      <c r="D19" s="33"/>
      <c r="E19" s="33"/>
    </row>
    <row r="20" spans="2:9" ht="15.6">
      <c r="B20" s="33"/>
      <c r="C20" s="33"/>
      <c r="D20" s="33"/>
      <c r="E20" s="33"/>
    </row>
    <row r="21" spans="2:9" ht="15.6">
      <c r="B21" s="33"/>
      <c r="C21" s="33"/>
      <c r="D21" s="33"/>
      <c r="E21" s="33"/>
    </row>
    <row r="22" spans="2:9" ht="15.6">
      <c r="B22" s="33"/>
      <c r="C22" s="33"/>
      <c r="D22" s="33"/>
      <c r="E22" s="33"/>
    </row>
    <row r="29" spans="2:9" ht="15.6">
      <c r="F29" s="33"/>
      <c r="G29" s="33"/>
      <c r="H29" s="33"/>
      <c r="I29" s="33"/>
    </row>
    <row r="30" spans="2:9" ht="15.6">
      <c r="F30" s="33"/>
      <c r="G30" s="33"/>
      <c r="H30" s="33"/>
      <c r="I30" s="33"/>
    </row>
    <row r="31" spans="2:9" ht="15.6">
      <c r="F31" s="33"/>
      <c r="G31" s="33"/>
      <c r="H31" s="33"/>
      <c r="I31" s="33"/>
    </row>
    <row r="32" spans="2:9" ht="15.6">
      <c r="F32" s="33"/>
      <c r="G32" s="33"/>
      <c r="H32" s="33"/>
      <c r="I32" s="33"/>
    </row>
    <row r="33" spans="6:9" ht="15.6">
      <c r="F33" s="33"/>
      <c r="G33" s="33"/>
      <c r="H33" s="33"/>
      <c r="I33" s="33"/>
    </row>
    <row r="34" spans="6:9" ht="15.6">
      <c r="F34" s="33"/>
      <c r="G34" s="33"/>
      <c r="H34" s="33"/>
      <c r="I34" s="33"/>
    </row>
    <row r="35" spans="6:9" ht="15.6">
      <c r="F35" s="33"/>
      <c r="G35" s="33"/>
      <c r="H35" s="33"/>
      <c r="I35" s="33"/>
    </row>
  </sheetData>
  <phoneticPr fontId="2" type="noConversion"/>
  <pageMargins left="0.31496062992126" right="0.31496062992126" top="0.35433070866141703" bottom="0.55118110236220497" header="0.31496062992126" footer="0.31496062992126"/>
  <pageSetup paperSize="9" scale="52" orientation="landscape" horizontalDpi="300" verticalDpi="300" r:id="rId1"/>
  <drawing r:id="rId2"/>
</worksheet>
</file>

<file path=docMetadata/LabelInfo.xml><?xml version="1.0" encoding="utf-8"?>
<clbl:labelList xmlns:clbl="http://schemas.microsoft.com/office/2020/mipLabelMetadata">
  <clbl:label id="{efead094-560e-463c-bb19-c3c75b05d1f6}" enabled="1" method="Standard" siteId="{7007305e-2664-4e6b-b9a4-c4d5ccfd152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Capital Group Declaration</vt:lpstr>
      <vt:lpstr>'Capital Group Declaration'!Print_Area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Day (戴宇志)</dc:creator>
  <cp:lastModifiedBy>王珏玲 Grace J Wang</cp:lastModifiedBy>
  <cp:lastPrinted>2025-11-26T09:50:48Z</cp:lastPrinted>
  <dcterms:created xsi:type="dcterms:W3CDTF">2015-10-16T08:37:05Z</dcterms:created>
  <dcterms:modified xsi:type="dcterms:W3CDTF">2025-11-27T08:29:20Z</dcterms:modified>
</cp:coreProperties>
</file>