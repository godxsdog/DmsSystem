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C:\Users\kentkhuang\Downloads\"/>
    </mc:Choice>
  </mc:AlternateContent>
  <xr:revisionPtr revIDLastSave="0" documentId="8_{CE3F6C28-066F-4E07-A024-2AC5235317F4}" xr6:coauthVersionLast="47" xr6:coauthVersionMax="47" xr10:uidLastSave="{00000000-0000-0000-0000-000000000000}"/>
  <bookViews>
    <workbookView xWindow="-120" yWindow="-120" windowWidth="29040" windowHeight="17520" firstSheet="1" xr2:uid="{00000000-000D-0000-FFFF-FFFF00000000}"/>
  </bookViews>
  <sheets>
    <sheet name="工作表1" sheetId="16" r:id="rId1"/>
    <sheet name="Project Planning - B" sheetId="15" r:id="rId2"/>
    <sheet name="Project Planning - A" sheetId="14" r:id="rId3"/>
    <sheet name="Shareholders' Meeting &amp; Managem" sheetId="17" r:id="rId4"/>
    <sheet name="Project Planning - C" sheetId="5" r:id="rId5"/>
    <sheet name="Project Planning (3)" sheetId="12" r:id="rId6"/>
    <sheet name="Sprint Calendar" sheetId="6" r:id="rId7"/>
    <sheet name="Project Planning (2)" sheetId="10" r:id="rId8"/>
    <sheet name="TimeLine_Ver2" sheetId="4" r:id="rId9"/>
    <sheet name="TimeLine" sheetId="3" r:id="rId10"/>
    <sheet name="Project Planning - B (2)" sheetId="13" r:id="rId11"/>
    <sheet name="Project Planning - B (3)" sheetId="18" r:id="rId12"/>
    <sheet name="Not in Scope" sheetId="9" r:id="rId13"/>
  </sheets>
  <definedNames>
    <definedName name="_xlnm._FilterDatabase" localSheetId="2" hidden="1">'Project Planning - A'!$A$11:$N$216</definedName>
    <definedName name="_xlnm._FilterDatabase" localSheetId="1" hidden="1">'Project Planning - B'!$A$10:$O$179</definedName>
    <definedName name="_xlnm._FilterDatabase" localSheetId="10" hidden="1">'Project Planning - B (2)'!$A$11:$N$216</definedName>
    <definedName name="_xlnm._FilterDatabase" localSheetId="11" hidden="1">'Project Planning - B (3)'!$A$10:$O$216</definedName>
    <definedName name="_xlnm._FilterDatabase" localSheetId="4" hidden="1">'Project Planning - C'!$A$9:$N$214</definedName>
    <definedName name="_xlnm._FilterDatabase" localSheetId="7" hidden="1">'Project Planning (2)'!$A$8:$N$213</definedName>
    <definedName name="_xlnm._FilterDatabase" localSheetId="5" hidden="1">'Project Planning (3)'!$A$9:$N$214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5" l="1" a="1"/>
  <c r="F23" i="15" s="1"/>
  <c r="F24" i="15" a="1"/>
  <c r="F24" i="15" s="1"/>
  <c r="F25" i="15" a="1"/>
  <c r="F25" i="15" s="1"/>
  <c r="F26" i="15" a="1"/>
  <c r="F26" i="15" s="1"/>
  <c r="F27" i="15" a="1"/>
  <c r="F27" i="15"/>
  <c r="F28" i="15" a="1"/>
  <c r="F28" i="15"/>
  <c r="F29" i="15" a="1"/>
  <c r="F29" i="15" s="1"/>
  <c r="F30" i="15" a="1"/>
  <c r="F30" i="15"/>
  <c r="F31" i="15" a="1"/>
  <c r="F31" i="15"/>
  <c r="F32" i="15" a="1"/>
  <c r="F32" i="15"/>
  <c r="F33" i="15" a="1"/>
  <c r="F33" i="15"/>
  <c r="F34" i="15" a="1"/>
  <c r="F34" i="15" s="1"/>
  <c r="F35" i="15" a="1"/>
  <c r="F35" i="15" s="1"/>
  <c r="F36" i="15" a="1"/>
  <c r="F36" i="15" s="1"/>
  <c r="F37" i="15" a="1"/>
  <c r="F37" i="15" s="1"/>
  <c r="F38" i="15" a="1"/>
  <c r="F38" i="15"/>
  <c r="F39" i="15" a="1"/>
  <c r="F39" i="15"/>
  <c r="F40" i="15" a="1"/>
  <c r="F40" i="15" s="1"/>
  <c r="F41" i="15" a="1"/>
  <c r="F41" i="15"/>
  <c r="F42" i="15" a="1"/>
  <c r="F42" i="15"/>
  <c r="F43" i="15" a="1"/>
  <c r="F43" i="15"/>
  <c r="F44" i="15" a="1"/>
  <c r="F44" i="15"/>
  <c r="F45" i="15" a="1"/>
  <c r="F45" i="15" s="1"/>
  <c r="F46" i="15" a="1"/>
  <c r="F46" i="15" s="1"/>
  <c r="F47" i="15" a="1"/>
  <c r="F47" i="15" s="1"/>
  <c r="F48" i="15" a="1"/>
  <c r="F48" i="15" s="1"/>
  <c r="F49" i="15" a="1"/>
  <c r="F49" i="15"/>
  <c r="F50" i="15" a="1"/>
  <c r="F50" i="15"/>
  <c r="F51" i="15" a="1"/>
  <c r="F51" i="15" s="1"/>
  <c r="F52" i="15" a="1"/>
  <c r="F52" i="15"/>
  <c r="F53" i="15" a="1"/>
  <c r="F53" i="15"/>
  <c r="F54" i="15" a="1"/>
  <c r="F54" i="15"/>
  <c r="F55" i="15" a="1"/>
  <c r="F55" i="15"/>
  <c r="F56" i="15" a="1"/>
  <c r="F56" i="15" s="1"/>
  <c r="F57" i="15" a="1"/>
  <c r="F57" i="15" s="1"/>
  <c r="F58" i="15" a="1"/>
  <c r="F58" i="15" s="1"/>
  <c r="F59" i="15" a="1"/>
  <c r="F59" i="15" s="1"/>
  <c r="F60" i="15" a="1"/>
  <c r="F60" i="15"/>
  <c r="F61" i="15" a="1"/>
  <c r="F61" i="15"/>
  <c r="F62" i="15" a="1"/>
  <c r="F62" i="15" s="1"/>
  <c r="F63" i="15" a="1"/>
  <c r="F63" i="15"/>
  <c r="F64" i="15" a="1"/>
  <c r="F64" i="15"/>
  <c r="F65" i="15" a="1"/>
  <c r="F65" i="15"/>
  <c r="F66" i="15" a="1"/>
  <c r="F66" i="15"/>
  <c r="F67" i="15" a="1"/>
  <c r="F67" i="15" s="1"/>
  <c r="F68" i="15" a="1"/>
  <c r="F68" i="15" s="1"/>
  <c r="F69" i="15" a="1"/>
  <c r="F69" i="15" s="1"/>
  <c r="F70" i="15" a="1"/>
  <c r="F70" i="15" s="1"/>
  <c r="F71" i="15" a="1"/>
  <c r="F71" i="15"/>
  <c r="F72" i="15" a="1"/>
  <c r="F72" i="15"/>
  <c r="F73" i="15" a="1"/>
  <c r="F73" i="15" s="1"/>
  <c r="F74" i="15" a="1"/>
  <c r="F74" i="15"/>
  <c r="F75" i="15" a="1"/>
  <c r="F75" i="15"/>
  <c r="F76" i="15" a="1"/>
  <c r="F76" i="15"/>
  <c r="F77" i="15" a="1"/>
  <c r="F77" i="15"/>
  <c r="F78" i="15" a="1"/>
  <c r="F78" i="15" s="1"/>
  <c r="F79" i="15" a="1"/>
  <c r="F79" i="15" s="1"/>
  <c r="F80" i="15" a="1"/>
  <c r="F80" i="15" s="1"/>
  <c r="F81" i="15" a="1"/>
  <c r="F81" i="15" s="1"/>
  <c r="F82" i="15" a="1"/>
  <c r="F82" i="15"/>
  <c r="F83" i="15" a="1"/>
  <c r="F83" i="15"/>
  <c r="F84" i="15" a="1"/>
  <c r="F84" i="15" s="1"/>
  <c r="F85" i="15" a="1"/>
  <c r="F85" i="15"/>
  <c r="F86" i="15" a="1"/>
  <c r="F86" i="15"/>
  <c r="F87" i="15" a="1"/>
  <c r="F87" i="15"/>
  <c r="F88" i="15" a="1"/>
  <c r="F88" i="15"/>
  <c r="F89" i="15" a="1"/>
  <c r="F89" i="15" s="1"/>
  <c r="F90" i="15" a="1"/>
  <c r="F90" i="15" s="1"/>
  <c r="F91" i="15" a="1"/>
  <c r="F91" i="15" s="1"/>
  <c r="F92" i="15" a="1"/>
  <c r="F92" i="15" s="1"/>
  <c r="F93" i="15" a="1"/>
  <c r="F93" i="15"/>
  <c r="F94" i="15" a="1"/>
  <c r="F94" i="15"/>
  <c r="F95" i="15" a="1"/>
  <c r="F95" i="15" s="1"/>
  <c r="F96" i="15" a="1"/>
  <c r="F96" i="15"/>
  <c r="F97" i="15" a="1"/>
  <c r="F97" i="15"/>
  <c r="F98" i="15" a="1"/>
  <c r="F98" i="15"/>
  <c r="F99" i="15" a="1"/>
  <c r="F99" i="15"/>
  <c r="F100" i="15" a="1"/>
  <c r="F100" i="15" s="1"/>
  <c r="F101" i="15" a="1"/>
  <c r="F101" i="15" s="1"/>
  <c r="F102" i="15" a="1"/>
  <c r="F102" i="15" s="1"/>
  <c r="F103" i="15" a="1"/>
  <c r="F103" i="15" s="1"/>
  <c r="F104" i="15" a="1"/>
  <c r="F104" i="15"/>
  <c r="F105" i="15" a="1"/>
  <c r="F105" i="15"/>
  <c r="F106" i="15" a="1"/>
  <c r="F106" i="15" s="1"/>
  <c r="F107" i="15" a="1"/>
  <c r="F107" i="15"/>
  <c r="F108" i="15" a="1"/>
  <c r="F108" i="15"/>
  <c r="F109" i="15" a="1"/>
  <c r="F109" i="15"/>
  <c r="F110" i="15" a="1"/>
  <c r="F110" i="15"/>
  <c r="F111" i="15" a="1"/>
  <c r="F111" i="15" s="1"/>
  <c r="F112" i="15" a="1"/>
  <c r="F112" i="15" s="1"/>
  <c r="F113" i="15" a="1"/>
  <c r="F113" i="15" s="1"/>
  <c r="F114" i="15" a="1"/>
  <c r="F114" i="15" s="1"/>
  <c r="F115" i="15" a="1"/>
  <c r="F115" i="15"/>
  <c r="F116" i="15" a="1"/>
  <c r="F116" i="15"/>
  <c r="F117" i="15" a="1"/>
  <c r="F117" i="15" s="1"/>
  <c r="F118" i="15" a="1"/>
  <c r="F118" i="15"/>
  <c r="F119" i="15" a="1"/>
  <c r="F119" i="15"/>
  <c r="F120" i="15" a="1"/>
  <c r="F120" i="15" s="1"/>
  <c r="F121" i="15" a="1"/>
  <c r="F121" i="15"/>
  <c r="F122" i="15" a="1"/>
  <c r="F122" i="15" s="1"/>
  <c r="F123" i="15" a="1"/>
  <c r="F123" i="15" s="1"/>
  <c r="F124" i="15" a="1"/>
  <c r="F124" i="15" s="1"/>
  <c r="F125" i="15" a="1"/>
  <c r="F125" i="15" s="1"/>
  <c r="F126" i="15" a="1"/>
  <c r="F126" i="15"/>
  <c r="F127" i="15" a="1"/>
  <c r="F127" i="15"/>
  <c r="F128" i="15" a="1"/>
  <c r="F128" i="15" s="1"/>
  <c r="F129" i="15" a="1"/>
  <c r="F129" i="15"/>
  <c r="F130" i="15" a="1"/>
  <c r="F130" i="15"/>
  <c r="F131" i="15" a="1"/>
  <c r="F131" i="15"/>
  <c r="F132" i="15" a="1"/>
  <c r="F132" i="15"/>
  <c r="F133" i="15" a="1"/>
  <c r="F133" i="15" s="1"/>
  <c r="F134" i="15" a="1"/>
  <c r="F134" i="15" s="1"/>
  <c r="F135" i="15" a="1"/>
  <c r="F135" i="15" s="1"/>
  <c r="F136" i="15" a="1"/>
  <c r="F136" i="15" s="1"/>
  <c r="F137" i="15" a="1"/>
  <c r="F137" i="15"/>
  <c r="F138" i="15" a="1"/>
  <c r="F138" i="15"/>
  <c r="F139" i="15" a="1"/>
  <c r="F139" i="15" s="1"/>
  <c r="F140" i="15" a="1"/>
  <c r="F140" i="15"/>
  <c r="F141" i="15" a="1"/>
  <c r="F141" i="15"/>
  <c r="F142" i="15" a="1"/>
  <c r="F142" i="15" s="1"/>
  <c r="F143" i="15" a="1"/>
  <c r="F143" i="15"/>
  <c r="F144" i="15" a="1"/>
  <c r="F144" i="15" s="1"/>
  <c r="F145" i="15" a="1"/>
  <c r="F145" i="15" s="1"/>
  <c r="F146" i="15" a="1"/>
  <c r="F146" i="15" s="1"/>
  <c r="F147" i="15" a="1"/>
  <c r="F147" i="15" s="1"/>
  <c r="F148" i="15" a="1"/>
  <c r="F148" i="15"/>
  <c r="F149" i="15" a="1"/>
  <c r="F149" i="15"/>
  <c r="F150" i="15" a="1"/>
  <c r="F150" i="15" s="1"/>
  <c r="F151" i="15" a="1"/>
  <c r="F151" i="15"/>
  <c r="F152" i="15" a="1"/>
  <c r="F152" i="15"/>
  <c r="F153" i="15" a="1"/>
  <c r="F153" i="15"/>
  <c r="F154" i="15" a="1"/>
  <c r="F154" i="15"/>
  <c r="F155" i="15" a="1"/>
  <c r="F155" i="15" s="1"/>
  <c r="F156" i="15" a="1"/>
  <c r="F156" i="15" s="1"/>
  <c r="F157" i="15" a="1"/>
  <c r="F157" i="15" s="1"/>
  <c r="F158" i="15" a="1"/>
  <c r="F158" i="15" s="1"/>
  <c r="F159" i="15" a="1"/>
  <c r="F159" i="15"/>
  <c r="F160" i="15" a="1"/>
  <c r="F160" i="15"/>
  <c r="F161" i="15" a="1"/>
  <c r="F161" i="15" s="1"/>
  <c r="F162" i="15" a="1"/>
  <c r="F162" i="15"/>
  <c r="F163" i="15" a="1"/>
  <c r="F163" i="15"/>
  <c r="F164" i="15" a="1"/>
  <c r="F164" i="15"/>
  <c r="F165" i="15" a="1"/>
  <c r="F165" i="15"/>
  <c r="F166" i="15" a="1"/>
  <c r="F166" i="15" s="1"/>
  <c r="F167" i="15" a="1"/>
  <c r="F167" i="15" s="1"/>
  <c r="F168" i="15" a="1"/>
  <c r="F168" i="15" s="1"/>
  <c r="F169" i="15" a="1"/>
  <c r="F169" i="15" s="1"/>
  <c r="F170" i="15" a="1"/>
  <c r="F170" i="15"/>
  <c r="F171" i="15" a="1"/>
  <c r="F171" i="15"/>
  <c r="F172" i="15" a="1"/>
  <c r="F172" i="15" s="1"/>
  <c r="F173" i="15" a="1"/>
  <c r="F173" i="15"/>
  <c r="F174" i="15" a="1"/>
  <c r="F174" i="15"/>
  <c r="F175" i="15" a="1"/>
  <c r="F175" i="15"/>
  <c r="F176" i="15" a="1"/>
  <c r="F176" i="15"/>
  <c r="F177" i="15" a="1"/>
  <c r="F177" i="15" s="1"/>
  <c r="F178" i="15" a="1"/>
  <c r="F178" i="15" s="1"/>
  <c r="F179" i="15" a="1"/>
  <c r="F179" i="15" s="1"/>
  <c r="I216" i="18"/>
  <c r="F216" i="18" a="1"/>
  <c r="F216" i="18" s="1"/>
  <c r="F215" i="18" a="1"/>
  <c r="F215" i="18" s="1"/>
  <c r="F214" i="18"/>
  <c r="F214" i="18" a="1"/>
  <c r="F213" i="18" a="1"/>
  <c r="F213" i="18" s="1"/>
  <c r="F212" i="18" a="1"/>
  <c r="F212" i="18" s="1"/>
  <c r="F211" i="18"/>
  <c r="F211" i="18" a="1"/>
  <c r="F210" i="18" a="1"/>
  <c r="F210" i="18" s="1"/>
  <c r="F209" i="18" a="1"/>
  <c r="F209" i="18" s="1"/>
  <c r="F208" i="18" a="1"/>
  <c r="F208" i="18" s="1"/>
  <c r="F207" i="18" a="1"/>
  <c r="F207" i="18" s="1"/>
  <c r="F206" i="18"/>
  <c r="F206" i="18" a="1"/>
  <c r="F205" i="18" a="1"/>
  <c r="F205" i="18" s="1"/>
  <c r="F204" i="18" a="1"/>
  <c r="F204" i="18" s="1"/>
  <c r="F203" i="18"/>
  <c r="F203" i="18" a="1"/>
  <c r="F202" i="18" a="1"/>
  <c r="F202" i="18" s="1"/>
  <c r="F201" i="18" a="1"/>
  <c r="F201" i="18" s="1"/>
  <c r="F200" i="18"/>
  <c r="F200" i="18" a="1"/>
  <c r="F199" i="18" a="1"/>
  <c r="F199" i="18" s="1"/>
  <c r="F198" i="18" a="1"/>
  <c r="F198" i="18" s="1"/>
  <c r="F197" i="18" a="1"/>
  <c r="F197" i="18" s="1"/>
  <c r="F196" i="18" a="1"/>
  <c r="F196" i="18" s="1"/>
  <c r="F195" i="18"/>
  <c r="F195" i="18" a="1"/>
  <c r="F194" i="18" a="1"/>
  <c r="F194" i="18" s="1"/>
  <c r="F193" i="18" a="1"/>
  <c r="F193" i="18" s="1"/>
  <c r="F192" i="18" a="1"/>
  <c r="F192" i="18" s="1"/>
  <c r="F191" i="18" a="1"/>
  <c r="F191" i="18" s="1"/>
  <c r="F190" i="18" a="1"/>
  <c r="F190" i="18" s="1"/>
  <c r="F189" i="18"/>
  <c r="F189" i="18" a="1"/>
  <c r="F188" i="18" a="1"/>
  <c r="F188" i="18" s="1"/>
  <c r="F187" i="18" a="1"/>
  <c r="F187" i="18" s="1"/>
  <c r="F186" i="18" a="1"/>
  <c r="F186" i="18" s="1"/>
  <c r="K185" i="18"/>
  <c r="F185" i="18" a="1"/>
  <c r="F185" i="18" s="1"/>
  <c r="K184" i="18"/>
  <c r="F184" i="18" a="1"/>
  <c r="F184" i="18" s="1"/>
  <c r="K183" i="18"/>
  <c r="F183" i="18" a="1"/>
  <c r="F183" i="18" s="1"/>
  <c r="K182" i="18"/>
  <c r="F182" i="18" a="1"/>
  <c r="F182" i="18" s="1"/>
  <c r="K181" i="18"/>
  <c r="F181" i="18" a="1"/>
  <c r="F181" i="18" s="1"/>
  <c r="K180" i="18"/>
  <c r="F180" i="18" a="1"/>
  <c r="F180" i="18" s="1"/>
  <c r="K179" i="18"/>
  <c r="F179" i="18" a="1"/>
  <c r="F179" i="18" s="1"/>
  <c r="K178" i="18"/>
  <c r="K177" i="18"/>
  <c r="K176" i="18"/>
  <c r="K175" i="18"/>
  <c r="K174" i="18"/>
  <c r="K173" i="18"/>
  <c r="K172" i="18"/>
  <c r="F172" i="18" a="1"/>
  <c r="F172" i="18" s="1"/>
  <c r="K171" i="18"/>
  <c r="F171" i="18"/>
  <c r="F171" i="18" a="1"/>
  <c r="K170" i="18"/>
  <c r="F170" i="18" a="1"/>
  <c r="F170" i="18" s="1"/>
  <c r="K169" i="18"/>
  <c r="F169" i="18" a="1"/>
  <c r="F169" i="18" s="1"/>
  <c r="K168" i="18"/>
  <c r="F168" i="18" a="1"/>
  <c r="F168" i="18" s="1"/>
  <c r="K167" i="18"/>
  <c r="F167" i="18" a="1"/>
  <c r="F167" i="18" s="1"/>
  <c r="K166" i="18"/>
  <c r="K165" i="18"/>
  <c r="K164" i="18"/>
  <c r="K163" i="18"/>
  <c r="K162" i="18"/>
  <c r="K161" i="18"/>
  <c r="K160" i="18"/>
  <c r="F160" i="18"/>
  <c r="F160" i="18" a="1"/>
  <c r="K159" i="18"/>
  <c r="F159" i="18" a="1"/>
  <c r="F159" i="18" s="1"/>
  <c r="K158" i="18"/>
  <c r="F158" i="18"/>
  <c r="F158" i="18" a="1"/>
  <c r="K157" i="18"/>
  <c r="F157" i="18" a="1"/>
  <c r="F157" i="18" s="1"/>
  <c r="K156" i="18"/>
  <c r="F156" i="18" a="1"/>
  <c r="F156" i="18" s="1"/>
  <c r="K155" i="18"/>
  <c r="F155" i="18" a="1"/>
  <c r="F155" i="18" s="1"/>
  <c r="K154" i="18"/>
  <c r="K153" i="18"/>
  <c r="K152" i="18"/>
  <c r="K151" i="18"/>
  <c r="K150" i="18"/>
  <c r="K149" i="18"/>
  <c r="K148" i="18"/>
  <c r="F148" i="18" a="1"/>
  <c r="F148" i="18" s="1"/>
  <c r="K147" i="18"/>
  <c r="F147" i="18" a="1"/>
  <c r="F147" i="18" s="1"/>
  <c r="K146" i="18"/>
  <c r="F146" i="18" a="1"/>
  <c r="F146" i="18" s="1"/>
  <c r="K145" i="18"/>
  <c r="F145" i="18" a="1"/>
  <c r="F145" i="18" s="1"/>
  <c r="K144" i="18"/>
  <c r="F144" i="18" a="1"/>
  <c r="F144" i="18" s="1"/>
  <c r="K143" i="18"/>
  <c r="F143" i="18" a="1"/>
  <c r="F143" i="18" s="1"/>
  <c r="K142" i="18"/>
  <c r="K141" i="18"/>
  <c r="K140" i="18"/>
  <c r="K139" i="18"/>
  <c r="K138" i="18"/>
  <c r="K137" i="18"/>
  <c r="K136" i="18"/>
  <c r="F136" i="18" a="1"/>
  <c r="F136" i="18" s="1"/>
  <c r="K135" i="18"/>
  <c r="F135" i="18" a="1"/>
  <c r="F135" i="18" s="1"/>
  <c r="K134" i="18"/>
  <c r="F134" i="18" a="1"/>
  <c r="F134" i="18" s="1"/>
  <c r="K133" i="18"/>
  <c r="F133" i="18" a="1"/>
  <c r="F133" i="18" s="1"/>
  <c r="K132" i="18"/>
  <c r="F132" i="18"/>
  <c r="F132" i="18" a="1"/>
  <c r="K131" i="18"/>
  <c r="F131" i="18" a="1"/>
  <c r="F131" i="18" s="1"/>
  <c r="K130" i="18"/>
  <c r="K129" i="18"/>
  <c r="K128" i="18"/>
  <c r="K127" i="18"/>
  <c r="K126" i="18"/>
  <c r="K125" i="18"/>
  <c r="K124" i="18"/>
  <c r="F124" i="18"/>
  <c r="F124" i="18" a="1"/>
  <c r="K123" i="18"/>
  <c r="F123" i="18" a="1"/>
  <c r="F123" i="18" s="1"/>
  <c r="K122" i="18"/>
  <c r="F122" i="18" a="1"/>
  <c r="F122" i="18" s="1"/>
  <c r="K121" i="18"/>
  <c r="F121" i="18" a="1"/>
  <c r="F121" i="18" s="1"/>
  <c r="K120" i="18"/>
  <c r="F120" i="18"/>
  <c r="F120" i="18" a="1"/>
  <c r="K119" i="18"/>
  <c r="F119" i="18" a="1"/>
  <c r="F119" i="18" s="1"/>
  <c r="K118" i="18"/>
  <c r="K117" i="18"/>
  <c r="K116" i="18"/>
  <c r="K115" i="18"/>
  <c r="K114" i="18"/>
  <c r="K113" i="18"/>
  <c r="K112" i="18"/>
  <c r="F112" i="18" a="1"/>
  <c r="F112" i="18" s="1"/>
  <c r="K111" i="18"/>
  <c r="F111" i="18" a="1"/>
  <c r="F111" i="18" s="1"/>
  <c r="K110" i="18"/>
  <c r="F110" i="18" a="1"/>
  <c r="F110" i="18" s="1"/>
  <c r="K109" i="18"/>
  <c r="F109" i="18" a="1"/>
  <c r="F109" i="18" s="1"/>
  <c r="K108" i="18"/>
  <c r="F108" i="18" a="1"/>
  <c r="F108" i="18" s="1"/>
  <c r="K107" i="18"/>
  <c r="F107" i="18"/>
  <c r="F107" i="18" a="1"/>
  <c r="K106" i="18"/>
  <c r="K105" i="18"/>
  <c r="K104" i="18"/>
  <c r="K103" i="18"/>
  <c r="K102" i="18"/>
  <c r="K101" i="18"/>
  <c r="K100" i="18"/>
  <c r="F100" i="18" a="1"/>
  <c r="F100" i="18" s="1"/>
  <c r="K99" i="18"/>
  <c r="F99" i="18" a="1"/>
  <c r="F99" i="18" s="1"/>
  <c r="K98" i="18"/>
  <c r="F98" i="18"/>
  <c r="F98" i="18" a="1"/>
  <c r="K97" i="18"/>
  <c r="F97" i="18" a="1"/>
  <c r="F97" i="18" s="1"/>
  <c r="K96" i="18"/>
  <c r="F96" i="18"/>
  <c r="F96" i="18" a="1"/>
  <c r="K95" i="18"/>
  <c r="F95" i="18" a="1"/>
  <c r="F95" i="18" s="1"/>
  <c r="K94" i="18"/>
  <c r="K93" i="18"/>
  <c r="K92" i="18"/>
  <c r="K91" i="18"/>
  <c r="K90" i="18"/>
  <c r="K89" i="18"/>
  <c r="K88" i="18"/>
  <c r="F88" i="18" a="1"/>
  <c r="F88" i="18" s="1"/>
  <c r="K87" i="18"/>
  <c r="F87" i="18" a="1"/>
  <c r="F87" i="18" s="1"/>
  <c r="K86" i="18"/>
  <c r="F86" i="18"/>
  <c r="F86" i="18" a="1"/>
  <c r="K85" i="18"/>
  <c r="F85" i="18" a="1"/>
  <c r="F85" i="18" s="1"/>
  <c r="K84" i="18"/>
  <c r="F84" i="18" a="1"/>
  <c r="F84" i="18" s="1"/>
  <c r="K83" i="18"/>
  <c r="F83" i="18" a="1"/>
  <c r="F83" i="18" s="1"/>
  <c r="K82" i="18"/>
  <c r="K81" i="18"/>
  <c r="K80" i="18"/>
  <c r="K79" i="18"/>
  <c r="K78" i="18"/>
  <c r="K77" i="18"/>
  <c r="K76" i="18"/>
  <c r="F76" i="18" a="1"/>
  <c r="F76" i="18" s="1"/>
  <c r="K75" i="18"/>
  <c r="F75" i="18" a="1"/>
  <c r="F75" i="18" s="1"/>
  <c r="K74" i="18"/>
  <c r="F74" i="18" a="1"/>
  <c r="F74" i="18" s="1"/>
  <c r="K73" i="18"/>
  <c r="F73" i="18"/>
  <c r="F73" i="18" a="1"/>
  <c r="K72" i="18"/>
  <c r="F72" i="18" a="1"/>
  <c r="F72" i="18" s="1"/>
  <c r="K71" i="18"/>
  <c r="F71" i="18" a="1"/>
  <c r="F71" i="18" s="1"/>
  <c r="K70" i="18"/>
  <c r="K69" i="18"/>
  <c r="K68" i="18"/>
  <c r="K67" i="18"/>
  <c r="K66" i="18"/>
  <c r="K65" i="18"/>
  <c r="K64" i="18"/>
  <c r="F64" i="18"/>
  <c r="F64" i="18" a="1"/>
  <c r="K63" i="18"/>
  <c r="F63" i="18" a="1"/>
  <c r="F63" i="18" s="1"/>
  <c r="K62" i="18"/>
  <c r="F62" i="18"/>
  <c r="F62" i="18" a="1"/>
  <c r="K61" i="18"/>
  <c r="F61" i="18" a="1"/>
  <c r="F61" i="18" s="1"/>
  <c r="K60" i="18"/>
  <c r="F60" i="18"/>
  <c r="F60" i="18" a="1"/>
  <c r="K59" i="18"/>
  <c r="F59" i="18" a="1"/>
  <c r="F59" i="18" s="1"/>
  <c r="K58" i="18"/>
  <c r="K57" i="18"/>
  <c r="K56" i="18"/>
  <c r="K55" i="18"/>
  <c r="K54" i="18"/>
  <c r="K53" i="18"/>
  <c r="K52" i="18"/>
  <c r="F52" i="18"/>
  <c r="F52" i="18" a="1"/>
  <c r="K51" i="18"/>
  <c r="F51" i="18" a="1"/>
  <c r="F51" i="18" s="1"/>
  <c r="K50" i="18"/>
  <c r="F50" i="18" a="1"/>
  <c r="F50" i="18" s="1"/>
  <c r="K49" i="18"/>
  <c r="F49" i="18" a="1"/>
  <c r="F49" i="18" s="1"/>
  <c r="K48" i="18"/>
  <c r="F48" i="18" a="1"/>
  <c r="F48" i="18" s="1"/>
  <c r="K47" i="18"/>
  <c r="F47" i="18" a="1"/>
  <c r="F47" i="18" s="1"/>
  <c r="K46" i="18"/>
  <c r="K44" i="18"/>
  <c r="K43" i="18"/>
  <c r="K42" i="18"/>
  <c r="K41" i="18"/>
  <c r="K40" i="18"/>
  <c r="F40" i="18" a="1"/>
  <c r="F40" i="18" s="1"/>
  <c r="K39" i="18"/>
  <c r="F39" i="18"/>
  <c r="F39" i="18" a="1"/>
  <c r="K38" i="18"/>
  <c r="F38" i="18" a="1"/>
  <c r="F38" i="18" s="1"/>
  <c r="F37" i="18" a="1"/>
  <c r="F37" i="18" s="1"/>
  <c r="K36" i="18"/>
  <c r="F36" i="18" a="1"/>
  <c r="F36" i="18" s="1"/>
  <c r="K35" i="18"/>
  <c r="F35" i="18"/>
  <c r="F35" i="18" a="1"/>
  <c r="K34" i="18"/>
  <c r="K33" i="18"/>
  <c r="K32" i="18"/>
  <c r="K31" i="18"/>
  <c r="K30" i="18"/>
  <c r="K29" i="18"/>
  <c r="K28" i="18"/>
  <c r="F28" i="18" a="1"/>
  <c r="F28" i="18" s="1"/>
  <c r="K27" i="18"/>
  <c r="F27" i="18"/>
  <c r="F27" i="18" a="1"/>
  <c r="K26" i="18"/>
  <c r="F26" i="18" a="1"/>
  <c r="F26" i="18" s="1"/>
  <c r="K25" i="18"/>
  <c r="F25" i="18" a="1"/>
  <c r="F25" i="18" s="1"/>
  <c r="K24" i="18"/>
  <c r="F24" i="18" a="1"/>
  <c r="F24" i="18" s="1"/>
  <c r="K23" i="18"/>
  <c r="F23" i="18" a="1"/>
  <c r="F23" i="18" s="1"/>
  <c r="K22" i="18"/>
  <c r="K21" i="18"/>
  <c r="K20" i="18"/>
  <c r="K19" i="18"/>
  <c r="K18" i="18"/>
  <c r="K17" i="18"/>
  <c r="J17" i="18"/>
  <c r="I18" i="18" s="1"/>
  <c r="J18" i="18" s="1"/>
  <c r="K16" i="18"/>
  <c r="F16" i="18" a="1"/>
  <c r="F16" i="18" s="1"/>
  <c r="K15" i="18"/>
  <c r="F15" i="18" a="1"/>
  <c r="F15" i="18" s="1"/>
  <c r="K14" i="18"/>
  <c r="F14" i="18" a="1"/>
  <c r="F14" i="18" s="1"/>
  <c r="K13" i="18"/>
  <c r="F13" i="18" a="1"/>
  <c r="F13" i="18" s="1"/>
  <c r="K12" i="18"/>
  <c r="F12" i="18"/>
  <c r="F12" i="18" a="1"/>
  <c r="K11" i="18"/>
  <c r="J11" i="18"/>
  <c r="I12" i="18" s="1"/>
  <c r="F11" i="18"/>
  <c r="F11" i="18" a="1"/>
  <c r="P8" i="18"/>
  <c r="Q8" i="18" s="1"/>
  <c r="J7" i="18"/>
  <c r="P6" i="18"/>
  <c r="Q6" i="18" s="1"/>
  <c r="C6" i="18"/>
  <c r="L5" i="18"/>
  <c r="C5" i="18"/>
  <c r="L4" i="18"/>
  <c r="C4" i="18"/>
  <c r="C3" i="18"/>
  <c r="P8" i="17"/>
  <c r="Q8" i="17" s="1"/>
  <c r="J7" i="17"/>
  <c r="Q6" i="17"/>
  <c r="P6" i="17"/>
  <c r="C6" i="17"/>
  <c r="L5" i="17"/>
  <c r="H5" i="17"/>
  <c r="C5" i="17"/>
  <c r="L4" i="17"/>
  <c r="H4" i="17"/>
  <c r="C4" i="17"/>
  <c r="H3" i="17"/>
  <c r="C3" i="17"/>
  <c r="J12" i="18" l="1"/>
  <c r="I23" i="18"/>
  <c r="J23" i="18" s="1"/>
  <c r="I24" i="18" s="1"/>
  <c r="J24" i="18" s="1"/>
  <c r="I19" i="18"/>
  <c r="J19" i="18" s="1"/>
  <c r="I20" i="18" s="1"/>
  <c r="J20" i="18" s="1"/>
  <c r="I21" i="18" s="1"/>
  <c r="J21" i="18" s="1"/>
  <c r="I26" i="18" l="1"/>
  <c r="J26" i="18" s="1"/>
  <c r="I22" i="18"/>
  <c r="J22" i="18" s="1"/>
  <c r="I28" i="18"/>
  <c r="J28" i="18" s="1"/>
  <c r="I25" i="18"/>
  <c r="J25" i="18" s="1"/>
  <c r="I29" i="18" s="1"/>
  <c r="J29" i="18" s="1"/>
  <c r="I13" i="18"/>
  <c r="I30" i="18" l="1"/>
  <c r="J30" i="18" s="1"/>
  <c r="I35" i="18" s="1"/>
  <c r="J35" i="18" s="1"/>
  <c r="I33" i="18"/>
  <c r="J33" i="18" s="1"/>
  <c r="I34" i="18" s="1"/>
  <c r="J34" i="18" s="1"/>
  <c r="J13" i="18"/>
  <c r="I27" i="18"/>
  <c r="J27" i="18" s="1"/>
  <c r="I31" i="18"/>
  <c r="J31" i="18" s="1"/>
  <c r="I36" i="18" l="1"/>
  <c r="J36" i="18" s="1"/>
  <c r="I37" i="18" s="1"/>
  <c r="I32" i="18"/>
  <c r="J32" i="18" s="1"/>
  <c r="I14" i="18"/>
  <c r="J14" i="18" l="1"/>
  <c r="I15" i="18" l="1"/>
  <c r="J15" i="18" l="1"/>
  <c r="A3" i="16" a="1"/>
  <c r="A3" i="16" s="1"/>
  <c r="C3" i="16" s="1"/>
  <c r="F17" i="15" a="1"/>
  <c r="F17" i="15" s="1"/>
  <c r="F18" i="15" a="1"/>
  <c r="F18" i="15" s="1"/>
  <c r="F19" i="15" a="1"/>
  <c r="F19" i="15" s="1"/>
  <c r="F20" i="15" a="1"/>
  <c r="F20" i="15" s="1"/>
  <c r="F21" i="15" a="1"/>
  <c r="F21" i="15" s="1"/>
  <c r="F22" i="15" a="1"/>
  <c r="F22" i="15" s="1"/>
  <c r="H23" i="13"/>
  <c r="H28" i="13"/>
  <c r="H33" i="13"/>
  <c r="H38" i="13"/>
  <c r="H39" i="13"/>
  <c r="H227" i="13"/>
  <c r="K42" i="15"/>
  <c r="C3" i="15"/>
  <c r="C4" i="15"/>
  <c r="L4" i="15"/>
  <c r="C5" i="15"/>
  <c r="L5" i="15"/>
  <c r="C6" i="15"/>
  <c r="P6" i="15"/>
  <c r="Q6" i="15" s="1"/>
  <c r="J7" i="15"/>
  <c r="P8" i="15"/>
  <c r="Q8" i="15" s="1"/>
  <c r="K11" i="15"/>
  <c r="J11" i="15" s="1"/>
  <c r="I12" i="15" s="1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2" i="15"/>
  <c r="K33" i="15"/>
  <c r="K34" i="15"/>
  <c r="K35" i="15"/>
  <c r="K36" i="15"/>
  <c r="K37" i="15"/>
  <c r="K38" i="15"/>
  <c r="K40" i="15"/>
  <c r="K41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O6" i="14"/>
  <c r="O8" i="13"/>
  <c r="O6" i="13"/>
  <c r="H237" i="13"/>
  <c r="I217" i="13"/>
  <c r="H217" i="14"/>
  <c r="H215" i="14"/>
  <c r="H210" i="14"/>
  <c r="H209" i="14"/>
  <c r="H204" i="14"/>
  <c r="H214" i="14"/>
  <c r="H213" i="14"/>
  <c r="H208" i="14"/>
  <c r="H203" i="14"/>
  <c r="H20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P6" i="14"/>
  <c r="P8" i="13"/>
  <c r="P6" i="13"/>
  <c r="C6" i="14"/>
  <c r="K5" i="14"/>
  <c r="C4" i="14"/>
  <c r="K4" i="14"/>
  <c r="J33" i="14"/>
  <c r="J38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1" i="14"/>
  <c r="J170" i="14"/>
  <c r="J169" i="14"/>
  <c r="J168" i="14"/>
  <c r="J166" i="14"/>
  <c r="J165" i="14"/>
  <c r="J164" i="14"/>
  <c r="J163" i="14"/>
  <c r="J161" i="14"/>
  <c r="J160" i="14"/>
  <c r="J159" i="14"/>
  <c r="J158" i="14"/>
  <c r="J156" i="14"/>
  <c r="J155" i="14"/>
  <c r="J154" i="14"/>
  <c r="J153" i="14"/>
  <c r="J151" i="14"/>
  <c r="J150" i="14"/>
  <c r="J149" i="14"/>
  <c r="J148" i="14"/>
  <c r="J146" i="14"/>
  <c r="J145" i="14"/>
  <c r="J144" i="14"/>
  <c r="J143" i="14"/>
  <c r="J141" i="14"/>
  <c r="J140" i="14"/>
  <c r="J139" i="14"/>
  <c r="J138" i="14"/>
  <c r="J136" i="14"/>
  <c r="J135" i="14"/>
  <c r="J134" i="14"/>
  <c r="J133" i="14"/>
  <c r="J131" i="14"/>
  <c r="J130" i="14"/>
  <c r="J129" i="14"/>
  <c r="J128" i="14"/>
  <c r="J126" i="14"/>
  <c r="J125" i="14"/>
  <c r="J124" i="14"/>
  <c r="J123" i="14"/>
  <c r="J121" i="14"/>
  <c r="J120" i="14"/>
  <c r="J119" i="14"/>
  <c r="J118" i="14"/>
  <c r="J116" i="14"/>
  <c r="J115" i="14"/>
  <c r="J114" i="14"/>
  <c r="J113" i="14"/>
  <c r="J111" i="14"/>
  <c r="J110" i="14"/>
  <c r="J109" i="14"/>
  <c r="J108" i="14"/>
  <c r="J106" i="14"/>
  <c r="J105" i="14"/>
  <c r="J104" i="14"/>
  <c r="J103" i="14"/>
  <c r="J101" i="14"/>
  <c r="J100" i="14"/>
  <c r="J99" i="14"/>
  <c r="J98" i="14"/>
  <c r="J96" i="14"/>
  <c r="J95" i="14"/>
  <c r="J94" i="14"/>
  <c r="J93" i="14"/>
  <c r="J91" i="14"/>
  <c r="J90" i="14"/>
  <c r="J89" i="14"/>
  <c r="J88" i="14"/>
  <c r="J86" i="14"/>
  <c r="J85" i="14"/>
  <c r="J84" i="14"/>
  <c r="J83" i="14"/>
  <c r="J81" i="14"/>
  <c r="J80" i="14"/>
  <c r="J79" i="14"/>
  <c r="J78" i="14"/>
  <c r="J76" i="14"/>
  <c r="J75" i="14"/>
  <c r="J74" i="14"/>
  <c r="J73" i="14"/>
  <c r="J71" i="14"/>
  <c r="J70" i="14"/>
  <c r="J69" i="14"/>
  <c r="J68" i="14"/>
  <c r="J66" i="14"/>
  <c r="J65" i="14"/>
  <c r="J64" i="14"/>
  <c r="J63" i="14"/>
  <c r="J61" i="14"/>
  <c r="J60" i="14"/>
  <c r="J59" i="14"/>
  <c r="J58" i="14"/>
  <c r="J56" i="14"/>
  <c r="J55" i="14"/>
  <c r="J54" i="14"/>
  <c r="J53" i="14"/>
  <c r="J51" i="14"/>
  <c r="J50" i="14"/>
  <c r="J49" i="14"/>
  <c r="J48" i="14"/>
  <c r="J46" i="14"/>
  <c r="J45" i="14"/>
  <c r="J44" i="14"/>
  <c r="J43" i="14"/>
  <c r="J42" i="14"/>
  <c r="J41" i="14"/>
  <c r="J40" i="14"/>
  <c r="J39" i="14"/>
  <c r="J34" i="14"/>
  <c r="J35" i="14"/>
  <c r="J192" i="14"/>
  <c r="J191" i="14"/>
  <c r="J190" i="14"/>
  <c r="J189" i="14"/>
  <c r="J188" i="14"/>
  <c r="J187" i="14"/>
  <c r="J172" i="14"/>
  <c r="J167" i="14"/>
  <c r="J162" i="14"/>
  <c r="J157" i="14"/>
  <c r="J152" i="14"/>
  <c r="J147" i="14"/>
  <c r="J142" i="14"/>
  <c r="J137" i="14"/>
  <c r="J132" i="14"/>
  <c r="J127" i="14"/>
  <c r="J122" i="14"/>
  <c r="J117" i="14"/>
  <c r="J112" i="14"/>
  <c r="J107" i="14"/>
  <c r="J102" i="14"/>
  <c r="J97" i="14"/>
  <c r="J92" i="14"/>
  <c r="J87" i="14"/>
  <c r="J82" i="14"/>
  <c r="J77" i="14"/>
  <c r="J72" i="14"/>
  <c r="J67" i="14"/>
  <c r="J62" i="14"/>
  <c r="J57" i="14"/>
  <c r="J52" i="14"/>
  <c r="J47" i="14"/>
  <c r="J37" i="14"/>
  <c r="J36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I18" i="14"/>
  <c r="H19" i="14" s="1"/>
  <c r="I19" i="14" s="1"/>
  <c r="J17" i="14"/>
  <c r="J16" i="14"/>
  <c r="J15" i="14"/>
  <c r="J14" i="14"/>
  <c r="J13" i="14"/>
  <c r="J12" i="14"/>
  <c r="I12" i="14"/>
  <c r="H13" i="14" s="1"/>
  <c r="I7" i="14"/>
  <c r="C5" i="14"/>
  <c r="K7" i="14"/>
  <c r="C3" i="14"/>
  <c r="J10" i="5"/>
  <c r="J35" i="13"/>
  <c r="J34" i="13"/>
  <c r="J30" i="13"/>
  <c r="J29" i="13"/>
  <c r="J25" i="13"/>
  <c r="J24" i="13"/>
  <c r="J19" i="13"/>
  <c r="J18" i="13"/>
  <c r="I18" i="13" s="1"/>
  <c r="H19" i="13" s="1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I205" i="13" s="1"/>
  <c r="H206" i="13" s="1"/>
  <c r="I206" i="13" s="1"/>
  <c r="J204" i="13"/>
  <c r="I204" i="13" s="1"/>
  <c r="J203" i="13"/>
  <c r="J202" i="13"/>
  <c r="J201" i="13"/>
  <c r="J200" i="13"/>
  <c r="I200" i="13" s="1"/>
  <c r="H201" i="13" s="1"/>
  <c r="I201" i="13" s="1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3" i="13"/>
  <c r="J32" i="13"/>
  <c r="J31" i="13"/>
  <c r="J28" i="13"/>
  <c r="J27" i="13"/>
  <c r="J26" i="13"/>
  <c r="J23" i="13"/>
  <c r="J22" i="13"/>
  <c r="J21" i="13"/>
  <c r="J20" i="13"/>
  <c r="J17" i="13"/>
  <c r="J16" i="13"/>
  <c r="J15" i="13"/>
  <c r="J14" i="13"/>
  <c r="J13" i="13"/>
  <c r="J12" i="13"/>
  <c r="I12" i="13"/>
  <c r="H13" i="13" s="1"/>
  <c r="I7" i="13"/>
  <c r="C6" i="13"/>
  <c r="K5" i="13"/>
  <c r="C5" i="13"/>
  <c r="K4" i="13"/>
  <c r="C4" i="13"/>
  <c r="C3" i="13"/>
  <c r="J193" i="12"/>
  <c r="J183" i="12"/>
  <c r="J175" i="12"/>
  <c r="J166" i="12"/>
  <c r="J151" i="12"/>
  <c r="J212" i="12"/>
  <c r="J207" i="12"/>
  <c r="J202" i="12"/>
  <c r="J197" i="12"/>
  <c r="J192" i="12"/>
  <c r="J187" i="12"/>
  <c r="J170" i="12"/>
  <c r="J165" i="12"/>
  <c r="J160" i="12"/>
  <c r="J155" i="12"/>
  <c r="J150" i="12"/>
  <c r="J145" i="12"/>
  <c r="J140" i="12"/>
  <c r="J135" i="12"/>
  <c r="J130" i="12"/>
  <c r="J125" i="12"/>
  <c r="J120" i="12"/>
  <c r="J115" i="12"/>
  <c r="J110" i="12"/>
  <c r="J105" i="12"/>
  <c r="J100" i="12"/>
  <c r="J95" i="12"/>
  <c r="J90" i="12"/>
  <c r="J85" i="12"/>
  <c r="J80" i="12"/>
  <c r="J75" i="12"/>
  <c r="J70" i="12"/>
  <c r="J65" i="12"/>
  <c r="J60" i="12"/>
  <c r="J55" i="12"/>
  <c r="J50" i="12"/>
  <c r="J45" i="12"/>
  <c r="J106" i="12"/>
  <c r="J101" i="12"/>
  <c r="J96" i="12"/>
  <c r="J91" i="12"/>
  <c r="J86" i="12"/>
  <c r="J81" i="12"/>
  <c r="J76" i="12"/>
  <c r="J41" i="12"/>
  <c r="J40" i="12"/>
  <c r="J39" i="12"/>
  <c r="J24" i="12"/>
  <c r="J15" i="12"/>
  <c r="J21" i="12"/>
  <c r="J26" i="12"/>
  <c r="J214" i="12"/>
  <c r="J209" i="12"/>
  <c r="J204" i="12"/>
  <c r="J199" i="12"/>
  <c r="J194" i="12"/>
  <c r="J189" i="12"/>
  <c r="J184" i="12"/>
  <c r="J180" i="12"/>
  <c r="J176" i="12"/>
  <c r="J172" i="12"/>
  <c r="J167" i="12"/>
  <c r="J162" i="12"/>
  <c r="J157" i="12"/>
  <c r="J152" i="12"/>
  <c r="J147" i="12"/>
  <c r="J142" i="12"/>
  <c r="J137" i="12"/>
  <c r="J132" i="12"/>
  <c r="J127" i="12"/>
  <c r="J122" i="12"/>
  <c r="J117" i="12"/>
  <c r="J112" i="12"/>
  <c r="J107" i="12"/>
  <c r="J102" i="12"/>
  <c r="J97" i="12"/>
  <c r="J92" i="12"/>
  <c r="J87" i="12"/>
  <c r="J82" i="12"/>
  <c r="J77" i="12"/>
  <c r="I77" i="12" s="1"/>
  <c r="J72" i="12"/>
  <c r="J67" i="12"/>
  <c r="J62" i="12"/>
  <c r="J57" i="12"/>
  <c r="J52" i="12"/>
  <c r="J47" i="12"/>
  <c r="J42" i="12"/>
  <c r="J213" i="12"/>
  <c r="J211" i="12"/>
  <c r="J210" i="12"/>
  <c r="J208" i="12"/>
  <c r="J206" i="12"/>
  <c r="J205" i="12"/>
  <c r="J203" i="12"/>
  <c r="J201" i="12"/>
  <c r="J200" i="12"/>
  <c r="J198" i="12"/>
  <c r="J196" i="12"/>
  <c r="J195" i="12"/>
  <c r="J191" i="12"/>
  <c r="J190" i="12"/>
  <c r="J188" i="12"/>
  <c r="J186" i="12"/>
  <c r="J185" i="12"/>
  <c r="J182" i="12"/>
  <c r="J181" i="12"/>
  <c r="J179" i="12"/>
  <c r="J178" i="12"/>
  <c r="J177" i="12"/>
  <c r="J174" i="12"/>
  <c r="J173" i="12"/>
  <c r="J171" i="12"/>
  <c r="J169" i="12"/>
  <c r="J168" i="12"/>
  <c r="J164" i="12"/>
  <c r="J163" i="12"/>
  <c r="J161" i="12"/>
  <c r="J159" i="12"/>
  <c r="J158" i="12"/>
  <c r="J156" i="12"/>
  <c r="J154" i="12"/>
  <c r="J153" i="12"/>
  <c r="J149" i="12"/>
  <c r="J148" i="12"/>
  <c r="J146" i="12"/>
  <c r="J144" i="12"/>
  <c r="J143" i="12"/>
  <c r="J141" i="12"/>
  <c r="J139" i="12"/>
  <c r="J138" i="12"/>
  <c r="J136" i="12"/>
  <c r="J134" i="12"/>
  <c r="J133" i="12"/>
  <c r="J131" i="12"/>
  <c r="J129" i="12"/>
  <c r="J128" i="12"/>
  <c r="J126" i="12"/>
  <c r="J124" i="12"/>
  <c r="J123" i="12"/>
  <c r="J121" i="12"/>
  <c r="J119" i="12"/>
  <c r="J118" i="12"/>
  <c r="J116" i="12"/>
  <c r="J114" i="12"/>
  <c r="J113" i="12"/>
  <c r="J111" i="12"/>
  <c r="J109" i="12"/>
  <c r="J108" i="12"/>
  <c r="J104" i="12"/>
  <c r="J103" i="12"/>
  <c r="J99" i="12"/>
  <c r="J98" i="12"/>
  <c r="J94" i="12"/>
  <c r="J93" i="12"/>
  <c r="J89" i="12"/>
  <c r="J88" i="12"/>
  <c r="J84" i="12"/>
  <c r="J83" i="12"/>
  <c r="J79" i="12"/>
  <c r="J78" i="12"/>
  <c r="J74" i="12"/>
  <c r="J73" i="12"/>
  <c r="J71" i="12"/>
  <c r="J69" i="12"/>
  <c r="J68" i="12"/>
  <c r="J66" i="12"/>
  <c r="J64" i="12"/>
  <c r="J63" i="12"/>
  <c r="J61" i="12"/>
  <c r="J59" i="12"/>
  <c r="J58" i="12"/>
  <c r="J56" i="12"/>
  <c r="J54" i="12"/>
  <c r="J53" i="12"/>
  <c r="J51" i="12"/>
  <c r="J49" i="12"/>
  <c r="J48" i="12"/>
  <c r="J46" i="12"/>
  <c r="J44" i="12"/>
  <c r="J43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5" i="12"/>
  <c r="J23" i="12"/>
  <c r="J22" i="12"/>
  <c r="J20" i="12"/>
  <c r="J19" i="12"/>
  <c r="J18" i="12"/>
  <c r="J17" i="12"/>
  <c r="J16" i="12"/>
  <c r="I16" i="12" s="1"/>
  <c r="J14" i="12"/>
  <c r="J13" i="12"/>
  <c r="J12" i="12"/>
  <c r="J11" i="12"/>
  <c r="J10" i="12"/>
  <c r="I10" i="12"/>
  <c r="H11" i="12" s="1"/>
  <c r="I11" i="12" s="1"/>
  <c r="H12" i="12" s="1"/>
  <c r="I12" i="12" s="1"/>
  <c r="H13" i="12" s="1"/>
  <c r="I7" i="12"/>
  <c r="C6" i="12"/>
  <c r="K5" i="12"/>
  <c r="C5" i="12"/>
  <c r="K4" i="12"/>
  <c r="C4" i="12"/>
  <c r="C3" i="12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0" i="10"/>
  <c r="J11" i="10"/>
  <c r="I11" i="10" s="1"/>
  <c r="H12" i="10" s="1"/>
  <c r="I12" i="10" s="1"/>
  <c r="H13" i="10" s="1"/>
  <c r="I13" i="10" s="1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9" i="10"/>
  <c r="I9" i="10"/>
  <c r="H10" i="10" s="1"/>
  <c r="I10" i="10" s="1"/>
  <c r="J213" i="10"/>
  <c r="J172" i="10"/>
  <c r="J171" i="10"/>
  <c r="J90" i="10"/>
  <c r="J89" i="10"/>
  <c r="J212" i="10"/>
  <c r="J170" i="10"/>
  <c r="J169" i="10"/>
  <c r="J88" i="10"/>
  <c r="J87" i="10"/>
  <c r="J211" i="10"/>
  <c r="J168" i="10"/>
  <c r="J167" i="10"/>
  <c r="J86" i="10"/>
  <c r="J85" i="10"/>
  <c r="J210" i="10"/>
  <c r="J166" i="10"/>
  <c r="J165" i="10"/>
  <c r="J84" i="10"/>
  <c r="J83" i="10"/>
  <c r="J209" i="10"/>
  <c r="J164" i="10"/>
  <c r="J163" i="10"/>
  <c r="J82" i="10"/>
  <c r="J81" i="10"/>
  <c r="J208" i="10"/>
  <c r="J162" i="10"/>
  <c r="J161" i="10"/>
  <c r="J80" i="10"/>
  <c r="J79" i="10"/>
  <c r="J143" i="10"/>
  <c r="J126" i="10"/>
  <c r="J142" i="10"/>
  <c r="J125" i="10"/>
  <c r="J141" i="10"/>
  <c r="J124" i="10"/>
  <c r="J123" i="10"/>
  <c r="J140" i="10"/>
  <c r="J122" i="10"/>
  <c r="J121" i="10"/>
  <c r="J139" i="10"/>
  <c r="J120" i="10"/>
  <c r="J119" i="10"/>
  <c r="J138" i="10"/>
  <c r="J118" i="10"/>
  <c r="J117" i="10"/>
  <c r="J137" i="10"/>
  <c r="J116" i="10"/>
  <c r="J115" i="10"/>
  <c r="J136" i="10"/>
  <c r="J114" i="10"/>
  <c r="J113" i="10"/>
  <c r="J135" i="10"/>
  <c r="J112" i="10"/>
  <c r="J111" i="10"/>
  <c r="J134" i="10"/>
  <c r="J110" i="10"/>
  <c r="J109" i="10"/>
  <c r="J133" i="10"/>
  <c r="J108" i="10"/>
  <c r="J107" i="10"/>
  <c r="J132" i="10"/>
  <c r="J106" i="10"/>
  <c r="J105" i="10"/>
  <c r="J131" i="10"/>
  <c r="J104" i="10"/>
  <c r="J103" i="10"/>
  <c r="J130" i="10"/>
  <c r="J102" i="10"/>
  <c r="J101" i="10"/>
  <c r="J129" i="10"/>
  <c r="J100" i="10"/>
  <c r="J99" i="10"/>
  <c r="J128" i="10"/>
  <c r="J98" i="10"/>
  <c r="J97" i="10"/>
  <c r="J127" i="10"/>
  <c r="J96" i="10"/>
  <c r="J95" i="10"/>
  <c r="J94" i="10"/>
  <c r="I94" i="10"/>
  <c r="H95" i="10" s="1"/>
  <c r="J173" i="10"/>
  <c r="J93" i="10"/>
  <c r="J92" i="10"/>
  <c r="J91" i="10"/>
  <c r="I7" i="10"/>
  <c r="C6" i="10"/>
  <c r="K5" i="10"/>
  <c r="C5" i="10"/>
  <c r="K4" i="10"/>
  <c r="C4" i="10"/>
  <c r="C3" i="10"/>
  <c r="K4" i="5"/>
  <c r="K5" i="5"/>
  <c r="J182" i="5"/>
  <c r="J179" i="5"/>
  <c r="J178" i="5"/>
  <c r="J177" i="5"/>
  <c r="J184" i="5"/>
  <c r="J183" i="5"/>
  <c r="J181" i="5"/>
  <c r="J180" i="5"/>
  <c r="J142" i="5"/>
  <c r="J141" i="5"/>
  <c r="J140" i="5"/>
  <c r="J139" i="5"/>
  <c r="J138" i="5"/>
  <c r="J137" i="5"/>
  <c r="J136" i="5"/>
  <c r="J135" i="5"/>
  <c r="J134" i="5"/>
  <c r="J133" i="5"/>
  <c r="J132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52" i="5"/>
  <c r="J131" i="5"/>
  <c r="J130" i="5"/>
  <c r="J129" i="5"/>
  <c r="J128" i="5"/>
  <c r="J127" i="5"/>
  <c r="J126" i="5"/>
  <c r="J125" i="5"/>
  <c r="J124" i="5"/>
  <c r="J123" i="5"/>
  <c r="J122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77" i="5"/>
  <c r="J82" i="5"/>
  <c r="J81" i="5"/>
  <c r="J80" i="5"/>
  <c r="J79" i="5"/>
  <c r="J78" i="5"/>
  <c r="J76" i="5"/>
  <c r="J75" i="5"/>
  <c r="J74" i="5"/>
  <c r="J73" i="5"/>
  <c r="J53" i="5"/>
  <c r="J51" i="5"/>
  <c r="J50" i="5"/>
  <c r="J49" i="5"/>
  <c r="J48" i="5"/>
  <c r="J47" i="5"/>
  <c r="J46" i="5"/>
  <c r="J45" i="5"/>
  <c r="J44" i="5"/>
  <c r="J4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I16" i="18" l="1"/>
  <c r="C7" i="16"/>
  <c r="C6" i="16"/>
  <c r="C5" i="16"/>
  <c r="C4" i="16"/>
  <c r="H218" i="13"/>
  <c r="I218" i="13" s="1"/>
  <c r="J12" i="15"/>
  <c r="I17" i="15" s="1"/>
  <c r="J17" i="15" s="1"/>
  <c r="I18" i="15" s="1"/>
  <c r="J18" i="15" s="1"/>
  <c r="I222" i="13"/>
  <c r="H223" i="13" s="1"/>
  <c r="I223" i="13" s="1"/>
  <c r="H225" i="13"/>
  <c r="I225" i="13" s="1"/>
  <c r="H224" i="13"/>
  <c r="I224" i="13" s="1"/>
  <c r="I13" i="13"/>
  <c r="I13" i="14"/>
  <c r="H14" i="14" s="1"/>
  <c r="I14" i="14" s="1"/>
  <c r="H15" i="14" s="1"/>
  <c r="I15" i="14" s="1"/>
  <c r="H16" i="14" s="1"/>
  <c r="I16" i="14" s="1"/>
  <c r="H17" i="14" s="1"/>
  <c r="I17" i="14" s="1"/>
  <c r="H24" i="14"/>
  <c r="I24" i="14" s="1"/>
  <c r="H25" i="14" s="1"/>
  <c r="I25" i="14" s="1"/>
  <c r="H20" i="14"/>
  <c r="I19" i="13"/>
  <c r="H24" i="13" s="1"/>
  <c r="I24" i="13" s="1"/>
  <c r="H25" i="13" s="1"/>
  <c r="I25" i="13" s="1"/>
  <c r="H29" i="13" s="1"/>
  <c r="I29" i="13" s="1"/>
  <c r="H14" i="13"/>
  <c r="I13" i="12"/>
  <c r="H14" i="12" s="1"/>
  <c r="I14" i="12" s="1"/>
  <c r="H15" i="12" s="1"/>
  <c r="I15" i="12" s="1"/>
  <c r="K7" i="12"/>
  <c r="H17" i="12"/>
  <c r="I17" i="12" s="1"/>
  <c r="K7" i="5"/>
  <c r="I95" i="10"/>
  <c r="H96" i="10" s="1"/>
  <c r="I96" i="10" s="1"/>
  <c r="K7" i="10"/>
  <c r="H14" i="10"/>
  <c r="I14" i="10" s="1"/>
  <c r="J86" i="5"/>
  <c r="J85" i="5"/>
  <c r="J84" i="5"/>
  <c r="J83" i="5"/>
  <c r="J42" i="5"/>
  <c r="J41" i="5"/>
  <c r="J40" i="5"/>
  <c r="J39" i="5"/>
  <c r="J38" i="5"/>
  <c r="J37" i="5"/>
  <c r="I37" i="5" s="1"/>
  <c r="A37" i="5" s="1" a="1"/>
  <c r="A37" i="5" s="1"/>
  <c r="J34" i="5"/>
  <c r="J33" i="5"/>
  <c r="J32" i="5"/>
  <c r="J31" i="5"/>
  <c r="J30" i="5"/>
  <c r="J29" i="5"/>
  <c r="J27" i="5"/>
  <c r="J26" i="5"/>
  <c r="J25" i="5"/>
  <c r="J24" i="5"/>
  <c r="J11" i="5"/>
  <c r="J12" i="5"/>
  <c r="J13" i="5"/>
  <c r="J14" i="5"/>
  <c r="J15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I7" i="9"/>
  <c r="C6" i="9"/>
  <c r="C5" i="9"/>
  <c r="C4" i="9"/>
  <c r="C3" i="9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6" i="18" l="1"/>
  <c r="H5" i="18" s="1"/>
  <c r="H4" i="18"/>
  <c r="I13" i="15"/>
  <c r="J13" i="15" s="1"/>
  <c r="I14" i="15" s="1"/>
  <c r="J14" i="15" s="1"/>
  <c r="I15" i="15" s="1"/>
  <c r="J15" i="15" s="1"/>
  <c r="I16" i="15" s="1"/>
  <c r="J16" i="15" s="1"/>
  <c r="H220" i="13"/>
  <c r="I220" i="13" s="1"/>
  <c r="H221" i="13" s="1"/>
  <c r="I221" i="13" s="1"/>
  <c r="H219" i="13"/>
  <c r="I22" i="15"/>
  <c r="J22" i="15" s="1"/>
  <c r="I19" i="15"/>
  <c r="J19" i="15" s="1"/>
  <c r="I23" i="15" s="1"/>
  <c r="J23" i="15" s="1"/>
  <c r="H226" i="13"/>
  <c r="I226" i="13" s="1"/>
  <c r="I227" i="13"/>
  <c r="I20" i="14"/>
  <c r="H29" i="14"/>
  <c r="I29" i="14" s="1"/>
  <c r="H26" i="14"/>
  <c r="I26" i="14" s="1"/>
  <c r="H30" i="14" s="1"/>
  <c r="I30" i="14" s="1"/>
  <c r="H20" i="13"/>
  <c r="I20" i="13" s="1"/>
  <c r="H21" i="13" s="1"/>
  <c r="I21" i="13" s="1"/>
  <c r="H22" i="13" s="1"/>
  <c r="I22" i="13" s="1"/>
  <c r="H26" i="13"/>
  <c r="I26" i="13" s="1"/>
  <c r="H30" i="13" s="1"/>
  <c r="I30" i="13" s="1"/>
  <c r="I14" i="13"/>
  <c r="H22" i="12"/>
  <c r="I22" i="12" s="1"/>
  <c r="H18" i="12"/>
  <c r="I18" i="12" s="1"/>
  <c r="H19" i="12" s="1"/>
  <c r="I19" i="12" s="1"/>
  <c r="H20" i="12"/>
  <c r="I20" i="12" s="1"/>
  <c r="H15" i="10"/>
  <c r="I15" i="10" s="1"/>
  <c r="H24" i="9"/>
  <c r="I24" i="9" s="1"/>
  <c r="H25" i="9" s="1"/>
  <c r="I25" i="9" s="1"/>
  <c r="H26" i="9" s="1"/>
  <c r="I26" i="9" s="1"/>
  <c r="H27" i="9" s="1"/>
  <c r="I27" i="9" s="1"/>
  <c r="H28" i="9" s="1"/>
  <c r="I28" i="9" s="1"/>
  <c r="H29" i="9" s="1"/>
  <c r="I29" i="9" s="1"/>
  <c r="H30" i="9" s="1"/>
  <c r="I30" i="9" s="1"/>
  <c r="H31" i="9" s="1"/>
  <c r="I31" i="9" s="1"/>
  <c r="H32" i="9" s="1"/>
  <c r="I32" i="9" s="1"/>
  <c r="H33" i="9" s="1"/>
  <c r="I33" i="9" s="1"/>
  <c r="H19" i="9"/>
  <c r="I19" i="9" s="1"/>
  <c r="H20" i="9" s="1"/>
  <c r="I20" i="9" s="1"/>
  <c r="H21" i="9" s="1"/>
  <c r="I21" i="9" s="1"/>
  <c r="H22" i="9" s="1"/>
  <c r="I22" i="9" s="1"/>
  <c r="H23" i="9" s="1"/>
  <c r="I23" i="9" s="1"/>
  <c r="H38" i="5"/>
  <c r="I38" i="5" s="1"/>
  <c r="A38" i="5" s="1" a="1"/>
  <c r="A38" i="5" s="1"/>
  <c r="H3" i="18" l="1"/>
  <c r="I20" i="15"/>
  <c r="J20" i="15" s="1"/>
  <c r="I21" i="15" s="1"/>
  <c r="J21" i="15" s="1"/>
  <c r="I228" i="13"/>
  <c r="H232" i="13" s="1"/>
  <c r="H228" i="13"/>
  <c r="I24" i="15"/>
  <c r="J24" i="15" s="1"/>
  <c r="I29" i="15" s="1"/>
  <c r="J29" i="15" s="1"/>
  <c r="I27" i="15"/>
  <c r="H34" i="14"/>
  <c r="I34" i="14" s="1"/>
  <c r="H35" i="14" s="1"/>
  <c r="I35" i="14" s="1"/>
  <c r="I39" i="14" s="1"/>
  <c r="H31" i="14"/>
  <c r="I31" i="14" s="1"/>
  <c r="H36" i="14" s="1"/>
  <c r="I36" i="14" s="1"/>
  <c r="H21" i="14"/>
  <c r="H34" i="13"/>
  <c r="I34" i="13" s="1"/>
  <c r="H35" i="13" s="1"/>
  <c r="I35" i="13" s="1"/>
  <c r="I39" i="13" s="1"/>
  <c r="H40" i="13" s="1"/>
  <c r="H31" i="13"/>
  <c r="I31" i="13" s="1"/>
  <c r="H36" i="13" s="1"/>
  <c r="I36" i="13" s="1"/>
  <c r="I23" i="13"/>
  <c r="H27" i="13"/>
  <c r="I27" i="13" s="1"/>
  <c r="H15" i="13"/>
  <c r="H23" i="12"/>
  <c r="I23" i="12" s="1"/>
  <c r="H21" i="12"/>
  <c r="I21" i="12" s="1"/>
  <c r="H9" i="9"/>
  <c r="I9" i="9" s="1"/>
  <c r="H10" i="9" s="1"/>
  <c r="I10" i="9" s="1"/>
  <c r="H11" i="9" s="1"/>
  <c r="I11" i="9" s="1"/>
  <c r="H12" i="9" s="1"/>
  <c r="I12" i="9" s="1"/>
  <c r="H13" i="9" s="1"/>
  <c r="I13" i="9" s="1"/>
  <c r="H14" i="9" s="1"/>
  <c r="I14" i="9" s="1"/>
  <c r="H15" i="9" s="1"/>
  <c r="I15" i="9" s="1"/>
  <c r="H16" i="9" s="1"/>
  <c r="I16" i="9" s="1"/>
  <c r="H17" i="9" s="1"/>
  <c r="I17" i="9" s="1"/>
  <c r="H18" i="9" s="1"/>
  <c r="I18" i="9" s="1"/>
  <c r="H39" i="5"/>
  <c r="I39" i="5" s="1"/>
  <c r="A39" i="5" s="1" a="1"/>
  <c r="A39" i="5" s="1"/>
  <c r="I25" i="15" l="1"/>
  <c r="J25" i="15" s="1"/>
  <c r="I30" i="15" s="1"/>
  <c r="J30" i="15" s="1"/>
  <c r="I31" i="15" s="1"/>
  <c r="J27" i="15"/>
  <c r="I28" i="15" s="1"/>
  <c r="J28" i="15" s="1"/>
  <c r="H229" i="13"/>
  <c r="I229" i="13" s="1"/>
  <c r="H230" i="13"/>
  <c r="I230" i="13" s="1"/>
  <c r="H231" i="13"/>
  <c r="I231" i="13" s="1"/>
  <c r="H235" i="13" s="1"/>
  <c r="I232" i="13"/>
  <c r="I21" i="14"/>
  <c r="H41" i="14"/>
  <c r="I41" i="14" s="1"/>
  <c r="H42" i="14" s="1"/>
  <c r="I42" i="14" s="1"/>
  <c r="H43" i="14" s="1"/>
  <c r="I43" i="14" s="1"/>
  <c r="H44" i="14" s="1"/>
  <c r="I44" i="14" s="1"/>
  <c r="H45" i="14" s="1"/>
  <c r="H40" i="14"/>
  <c r="I40" i="14" s="1"/>
  <c r="I45" i="14" s="1"/>
  <c r="H46" i="14" s="1"/>
  <c r="I46" i="14" s="1"/>
  <c r="I28" i="13"/>
  <c r="H32" i="13"/>
  <c r="I32" i="13" s="1"/>
  <c r="I40" i="13"/>
  <c r="H41" i="13"/>
  <c r="I41" i="13" s="1"/>
  <c r="H42" i="13" s="1"/>
  <c r="I42" i="13" s="1"/>
  <c r="H43" i="13" s="1"/>
  <c r="I43" i="13" s="1"/>
  <c r="I15" i="13"/>
  <c r="H25" i="12"/>
  <c r="H24" i="12"/>
  <c r="H27" i="12"/>
  <c r="I27" i="12" s="1"/>
  <c r="I24" i="12"/>
  <c r="A11" i="10" a="1"/>
  <c r="A11" i="10" s="1"/>
  <c r="H16" i="10"/>
  <c r="I16" i="10" s="1"/>
  <c r="H97" i="10"/>
  <c r="H40" i="5"/>
  <c r="I40" i="5" s="1"/>
  <c r="A40" i="5" s="1" a="1"/>
  <c r="A40" i="5" s="1"/>
  <c r="I26" i="15" l="1"/>
  <c r="I45" i="13"/>
  <c r="H45" i="13"/>
  <c r="H44" i="13"/>
  <c r="I44" i="13" s="1"/>
  <c r="H233" i="13"/>
  <c r="I233" i="13" s="1"/>
  <c r="I235" i="13"/>
  <c r="H48" i="14"/>
  <c r="I48" i="14" s="1"/>
  <c r="H49" i="14" s="1"/>
  <c r="I49" i="14" s="1"/>
  <c r="H55" i="14" s="1"/>
  <c r="H47" i="14"/>
  <c r="I47" i="14" s="1"/>
  <c r="H22" i="14"/>
  <c r="I33" i="13"/>
  <c r="H37" i="13"/>
  <c r="I37" i="13" s="1"/>
  <c r="I38" i="13" s="1"/>
  <c r="H16" i="13"/>
  <c r="H28" i="12"/>
  <c r="I28" i="12" s="1"/>
  <c r="I25" i="12"/>
  <c r="A12" i="10" a="1"/>
  <c r="A12" i="10" s="1"/>
  <c r="H17" i="10"/>
  <c r="I17" i="10" s="1"/>
  <c r="I97" i="10"/>
  <c r="H41" i="5"/>
  <c r="I41" i="5" s="1"/>
  <c r="A41" i="5" s="1" a="1"/>
  <c r="A41" i="5" s="1"/>
  <c r="J26" i="15" l="1"/>
  <c r="D5" i="16"/>
  <c r="H242" i="13"/>
  <c r="H234" i="13"/>
  <c r="I234" i="13" s="1"/>
  <c r="H46" i="13"/>
  <c r="I46" i="13" s="1"/>
  <c r="H236" i="13"/>
  <c r="I236" i="13" s="1"/>
  <c r="I237" i="13"/>
  <c r="H238" i="13" s="1"/>
  <c r="I238" i="13" s="1"/>
  <c r="I22" i="14"/>
  <c r="I55" i="14"/>
  <c r="H56" i="14" s="1"/>
  <c r="I56" i="14" s="1"/>
  <c r="I16" i="13"/>
  <c r="H32" i="12"/>
  <c r="I32" i="12" s="1"/>
  <c r="H33" i="12" s="1"/>
  <c r="I33" i="12" s="1"/>
  <c r="H37" i="12" s="1"/>
  <c r="I37" i="12" s="1"/>
  <c r="H38" i="12" s="1"/>
  <c r="I38" i="12" s="1"/>
  <c r="H29" i="12"/>
  <c r="H30" i="12"/>
  <c r="I39" i="12"/>
  <c r="H40" i="12" s="1"/>
  <c r="I40" i="12" s="1"/>
  <c r="H41" i="12" s="1"/>
  <c r="I41" i="12" s="1"/>
  <c r="H42" i="12" s="1"/>
  <c r="I42" i="12" s="1"/>
  <c r="I43" i="12"/>
  <c r="H44" i="12" s="1"/>
  <c r="I44" i="12" s="1"/>
  <c r="H46" i="12" s="1"/>
  <c r="H26" i="12"/>
  <c r="I26" i="12" s="1"/>
  <c r="A94" i="10" a="1"/>
  <c r="A94" i="10" s="1"/>
  <c r="H18" i="10"/>
  <c r="I18" i="10" s="1"/>
  <c r="H19" i="10" s="1"/>
  <c r="I19" i="10" s="1"/>
  <c r="H98" i="10"/>
  <c r="H42" i="5"/>
  <c r="I42" i="5" s="1"/>
  <c r="H73" i="5" s="1"/>
  <c r="J36" i="5"/>
  <c r="J35" i="5"/>
  <c r="J28" i="5"/>
  <c r="J23" i="5"/>
  <c r="J22" i="5"/>
  <c r="J21" i="5"/>
  <c r="J20" i="5"/>
  <c r="J19" i="5"/>
  <c r="J18" i="5"/>
  <c r="J17" i="5"/>
  <c r="J16" i="5"/>
  <c r="C6" i="5"/>
  <c r="C5" i="5"/>
  <c r="C4" i="5"/>
  <c r="C3" i="5"/>
  <c r="H50" i="13" l="1"/>
  <c r="I50" i="13" s="1"/>
  <c r="H47" i="13"/>
  <c r="I47" i="13" s="1"/>
  <c r="H48" i="13"/>
  <c r="I48" i="13" s="1"/>
  <c r="H240" i="13"/>
  <c r="I240" i="13" s="1"/>
  <c r="H239" i="13"/>
  <c r="I239" i="13" s="1"/>
  <c r="H58" i="14"/>
  <c r="I58" i="14" s="1"/>
  <c r="H59" i="14" s="1"/>
  <c r="I59" i="14" s="1"/>
  <c r="H57" i="14"/>
  <c r="I57" i="14" s="1"/>
  <c r="H27" i="14"/>
  <c r="I27" i="14" s="1"/>
  <c r="H23" i="14"/>
  <c r="H17" i="13"/>
  <c r="H48" i="12"/>
  <c r="I48" i="12" s="1"/>
  <c r="H49" i="12" s="1"/>
  <c r="I49" i="12" s="1"/>
  <c r="H50" i="12" s="1"/>
  <c r="I50" i="12" s="1"/>
  <c r="H45" i="12"/>
  <c r="I45" i="12" s="1"/>
  <c r="I46" i="12" s="1"/>
  <c r="H47" i="12" s="1"/>
  <c r="I47" i="12" s="1"/>
  <c r="I29" i="12"/>
  <c r="H20" i="10"/>
  <c r="I20" i="10" s="1"/>
  <c r="A96" i="10" a="1"/>
  <c r="A96" i="10" s="1"/>
  <c r="A95" i="10" a="1"/>
  <c r="A95" i="10" s="1"/>
  <c r="I98" i="10"/>
  <c r="A42" i="5" a="1"/>
  <c r="A42" i="5" s="1"/>
  <c r="I73" i="5"/>
  <c r="A73" i="5" s="1" a="1"/>
  <c r="A73" i="5" s="1"/>
  <c r="I7" i="5"/>
  <c r="H49" i="13" l="1"/>
  <c r="I49" i="13" s="1"/>
  <c r="H51" i="13"/>
  <c r="I51" i="13" s="1"/>
  <c r="H241" i="13"/>
  <c r="I241" i="13" s="1"/>
  <c r="I242" i="13" s="1"/>
  <c r="I23" i="14"/>
  <c r="H28" i="14"/>
  <c r="I17" i="13"/>
  <c r="H53" i="12"/>
  <c r="H51" i="12"/>
  <c r="I51" i="12" s="1"/>
  <c r="H52" i="12" s="1"/>
  <c r="I52" i="12" s="1"/>
  <c r="I30" i="12"/>
  <c r="H21" i="10"/>
  <c r="I21" i="10" s="1"/>
  <c r="A127" i="10" a="1"/>
  <c r="A127" i="10" s="1"/>
  <c r="H74" i="5"/>
  <c r="I74" i="5" s="1"/>
  <c r="A74" i="5" s="1" a="1"/>
  <c r="A74" i="5" s="1"/>
  <c r="I16" i="5"/>
  <c r="A16" i="5" s="1" a="1"/>
  <c r="A16" i="5" s="1"/>
  <c r="H55" i="13" l="1"/>
  <c r="I55" i="13" s="1"/>
  <c r="H53" i="13"/>
  <c r="I53" i="13" s="1"/>
  <c r="H52" i="13"/>
  <c r="I52" i="13" s="1"/>
  <c r="H243" i="13"/>
  <c r="I243" i="13" s="1"/>
  <c r="I28" i="14"/>
  <c r="H32" i="14" s="1"/>
  <c r="H31" i="12"/>
  <c r="I31" i="12" s="1"/>
  <c r="H22" i="10"/>
  <c r="I22" i="10" s="1"/>
  <c r="A13" i="10" a="1"/>
  <c r="A13" i="10" s="1"/>
  <c r="H99" i="10"/>
  <c r="I99" i="10" s="1"/>
  <c r="H75" i="5"/>
  <c r="I75" i="5" s="1"/>
  <c r="A75" i="5" s="1" a="1"/>
  <c r="A75" i="5" s="1"/>
  <c r="H17" i="5"/>
  <c r="H245" i="13" l="1"/>
  <c r="I245" i="13" s="1"/>
  <c r="H246" i="13" s="1"/>
  <c r="I246" i="13" s="1"/>
  <c r="H247" i="13" s="1"/>
  <c r="H244" i="13"/>
  <c r="I244" i="13" s="1"/>
  <c r="H54" i="13"/>
  <c r="I54" i="13" s="1"/>
  <c r="H56" i="13"/>
  <c r="I56" i="13" s="1"/>
  <c r="I32" i="14"/>
  <c r="H33" i="14" s="1"/>
  <c r="I33" i="14"/>
  <c r="H37" i="14" s="1"/>
  <c r="I34" i="12"/>
  <c r="H23" i="10"/>
  <c r="I23" i="10" s="1"/>
  <c r="A14" i="10" a="1"/>
  <c r="A14" i="10" s="1"/>
  <c r="H100" i="10"/>
  <c r="I100" i="10" s="1"/>
  <c r="H76" i="5"/>
  <c r="I76" i="5" s="1"/>
  <c r="A76" i="5" s="1" a="1"/>
  <c r="A76" i="5" s="1"/>
  <c r="I17" i="5"/>
  <c r="H60" i="13" l="1"/>
  <c r="I60" i="13" s="1"/>
  <c r="H57" i="13"/>
  <c r="I57" i="13" s="1"/>
  <c r="H58" i="13"/>
  <c r="I58" i="13" s="1"/>
  <c r="I37" i="14"/>
  <c r="H38" i="14" s="1"/>
  <c r="I38" i="14" s="1"/>
  <c r="H50" i="14" s="1"/>
  <c r="I50" i="14" s="1"/>
  <c r="H51" i="14" s="1"/>
  <c r="I51" i="14" s="1"/>
  <c r="H53" i="14"/>
  <c r="I53" i="14" s="1"/>
  <c r="H54" i="14" s="1"/>
  <c r="I54" i="14" s="1"/>
  <c r="H60" i="14" s="1"/>
  <c r="I60" i="14" s="1"/>
  <c r="H61" i="14" s="1"/>
  <c r="I61" i="14" s="1"/>
  <c r="H52" i="14"/>
  <c r="H63" i="14"/>
  <c r="I63" i="14" s="1"/>
  <c r="H64" i="14" s="1"/>
  <c r="I64" i="14" s="1"/>
  <c r="H62" i="14"/>
  <c r="I62" i="14" s="1"/>
  <c r="I35" i="12"/>
  <c r="H24" i="10"/>
  <c r="I24" i="10" s="1"/>
  <c r="A97" i="10" a="1"/>
  <c r="A97" i="10" s="1"/>
  <c r="A17" i="5" a="1"/>
  <c r="A17" i="5" s="1"/>
  <c r="H22" i="5"/>
  <c r="I22" i="5" s="1"/>
  <c r="A22" i="5" s="1" a="1"/>
  <c r="A22" i="5" s="1"/>
  <c r="I77" i="5"/>
  <c r="A77" i="5" s="1" a="1"/>
  <c r="A77" i="5" s="1"/>
  <c r="H59" i="13" l="1"/>
  <c r="I59" i="13" s="1"/>
  <c r="H61" i="13"/>
  <c r="I61" i="13" s="1"/>
  <c r="I52" i="14"/>
  <c r="H70" i="14"/>
  <c r="I70" i="14" s="1"/>
  <c r="H71" i="14" s="1"/>
  <c r="I71" i="14" s="1"/>
  <c r="H65" i="14"/>
  <c r="H36" i="12"/>
  <c r="I36" i="12" s="1"/>
  <c r="H25" i="10"/>
  <c r="I25" i="10" s="1"/>
  <c r="A98" i="10" a="1"/>
  <c r="A98" i="10" s="1"/>
  <c r="H101" i="10"/>
  <c r="I101" i="10" s="1"/>
  <c r="H23" i="5"/>
  <c r="I23" i="5" s="1"/>
  <c r="A23" i="5" s="1" a="1"/>
  <c r="A23" i="5" s="1"/>
  <c r="H78" i="5"/>
  <c r="I78" i="5" s="1"/>
  <c r="A78" i="5" s="1" a="1"/>
  <c r="A78" i="5" s="1"/>
  <c r="I18" i="5"/>
  <c r="A18" i="5" s="1" a="1"/>
  <c r="A18" i="5" s="1"/>
  <c r="H65" i="13" l="1"/>
  <c r="I65" i="13" s="1"/>
  <c r="H63" i="13"/>
  <c r="I63" i="13" s="1"/>
  <c r="H62" i="13"/>
  <c r="I62" i="13" s="1"/>
  <c r="I65" i="14"/>
  <c r="H66" i="14" s="1"/>
  <c r="I66" i="14" s="1"/>
  <c r="H68" i="14"/>
  <c r="I68" i="14" s="1"/>
  <c r="H69" i="14" s="1"/>
  <c r="I69" i="14" s="1"/>
  <c r="H75" i="14" s="1"/>
  <c r="I75" i="14" s="1"/>
  <c r="H76" i="14" s="1"/>
  <c r="I76" i="14" s="1"/>
  <c r="H67" i="14"/>
  <c r="H73" i="14"/>
  <c r="I73" i="14" s="1"/>
  <c r="H74" i="14" s="1"/>
  <c r="I74" i="14" s="1"/>
  <c r="H80" i="14" s="1"/>
  <c r="I80" i="14" s="1"/>
  <c r="H81" i="14" s="1"/>
  <c r="I81" i="14" s="1"/>
  <c r="H72" i="14"/>
  <c r="I72" i="14" s="1"/>
  <c r="I53" i="12"/>
  <c r="H54" i="12" s="1"/>
  <c r="I54" i="12" s="1"/>
  <c r="H56" i="12" s="1"/>
  <c r="H102" i="10"/>
  <c r="I102" i="10" s="1"/>
  <c r="H27" i="5"/>
  <c r="I27" i="5" s="1"/>
  <c r="A27" i="5" s="1" a="1"/>
  <c r="A27" i="5" s="1"/>
  <c r="H32" i="5"/>
  <c r="I32" i="5" s="1"/>
  <c r="H79" i="5"/>
  <c r="I79" i="5" s="1"/>
  <c r="H19" i="5"/>
  <c r="I66" i="13" l="1"/>
  <c r="H66" i="13"/>
  <c r="I64" i="13"/>
  <c r="H64" i="13"/>
  <c r="I67" i="14"/>
  <c r="H83" i="14"/>
  <c r="I83" i="14" s="1"/>
  <c r="H84" i="14" s="1"/>
  <c r="I84" i="14" s="1"/>
  <c r="H90" i="14" s="1"/>
  <c r="I90" i="14" s="1"/>
  <c r="H91" i="14" s="1"/>
  <c r="I91" i="14" s="1"/>
  <c r="H82" i="14"/>
  <c r="I82" i="14" s="1"/>
  <c r="H78" i="14"/>
  <c r="I78" i="14" s="1"/>
  <c r="H79" i="14" s="1"/>
  <c r="I79" i="14" s="1"/>
  <c r="H85" i="14" s="1"/>
  <c r="I85" i="14" s="1"/>
  <c r="H86" i="14" s="1"/>
  <c r="I86" i="14" s="1"/>
  <c r="H77" i="14"/>
  <c r="H92" i="14"/>
  <c r="H58" i="12"/>
  <c r="I58" i="12" s="1"/>
  <c r="H59" i="12" s="1"/>
  <c r="I59" i="12" s="1"/>
  <c r="H61" i="12" s="1"/>
  <c r="H55" i="12"/>
  <c r="I55" i="12" s="1"/>
  <c r="I56" i="12" s="1"/>
  <c r="H57" i="12" s="1"/>
  <c r="I57" i="12" s="1"/>
  <c r="H103" i="10"/>
  <c r="I103" i="10" s="1"/>
  <c r="H104" i="10" s="1"/>
  <c r="I104" i="10" s="1"/>
  <c r="H105" i="10" s="1"/>
  <c r="I105" i="10" s="1"/>
  <c r="H106" i="10" s="1"/>
  <c r="I106" i="10" s="1"/>
  <c r="H107" i="10" s="1"/>
  <c r="I107" i="10" s="1"/>
  <c r="H108" i="10" s="1"/>
  <c r="I108" i="10" s="1"/>
  <c r="A79" i="5" a="1"/>
  <c r="A79" i="5" s="1"/>
  <c r="H80" i="5"/>
  <c r="I80" i="5" s="1"/>
  <c r="A80" i="5" s="1" a="1"/>
  <c r="A80" i="5" s="1"/>
  <c r="H28" i="5"/>
  <c r="I28" i="5" s="1"/>
  <c r="A28" i="5" s="1" a="1"/>
  <c r="A28" i="5" s="1"/>
  <c r="I19" i="5"/>
  <c r="A19" i="5" s="1" a="1"/>
  <c r="A19" i="5" s="1"/>
  <c r="H70" i="13" l="1"/>
  <c r="I70" i="13" s="1"/>
  <c r="H67" i="13"/>
  <c r="I67" i="13" s="1"/>
  <c r="H68" i="13"/>
  <c r="I68" i="13" s="1"/>
  <c r="I77" i="14"/>
  <c r="H88" i="14"/>
  <c r="I88" i="14" s="1"/>
  <c r="H89" i="14" s="1"/>
  <c r="I89" i="14" s="1"/>
  <c r="H95" i="14" s="1"/>
  <c r="I95" i="14" s="1"/>
  <c r="H96" i="14" s="1"/>
  <c r="I96" i="14" s="1"/>
  <c r="H87" i="14"/>
  <c r="I92" i="14"/>
  <c r="H93" i="14" s="1"/>
  <c r="I93" i="14" s="1"/>
  <c r="H94" i="14" s="1"/>
  <c r="I94" i="14" s="1"/>
  <c r="H100" i="14" s="1"/>
  <c r="I100" i="14"/>
  <c r="H101" i="14" s="1"/>
  <c r="I101" i="14" s="1"/>
  <c r="H98" i="14"/>
  <c r="I98" i="14" s="1"/>
  <c r="H99" i="14" s="1"/>
  <c r="I99" i="14" s="1"/>
  <c r="H105" i="14" s="1"/>
  <c r="H97" i="14"/>
  <c r="H63" i="12"/>
  <c r="I63" i="12" s="1"/>
  <c r="H64" i="12" s="1"/>
  <c r="I64" i="12" s="1"/>
  <c r="H66" i="12" s="1"/>
  <c r="H60" i="12"/>
  <c r="I60" i="12" s="1"/>
  <c r="I61" i="12" s="1"/>
  <c r="H62" i="12" s="1"/>
  <c r="I62" i="12" s="1"/>
  <c r="H109" i="10"/>
  <c r="I109" i="10" s="1"/>
  <c r="H26" i="10"/>
  <c r="I26" i="10" s="1"/>
  <c r="H81" i="5"/>
  <c r="I81" i="5" s="1"/>
  <c r="H20" i="5"/>
  <c r="I69" i="13" l="1"/>
  <c r="H69" i="13"/>
  <c r="H71" i="13"/>
  <c r="I71" i="13" s="1"/>
  <c r="I87" i="14"/>
  <c r="I97" i="14"/>
  <c r="I105" i="14"/>
  <c r="H106" i="14" s="1"/>
  <c r="I106" i="14" s="1"/>
  <c r="H102" i="14"/>
  <c r="H68" i="12"/>
  <c r="I68" i="12" s="1"/>
  <c r="H69" i="12" s="1"/>
  <c r="I69" i="12" s="1"/>
  <c r="H70" i="12" s="1"/>
  <c r="I70" i="12" s="1"/>
  <c r="H65" i="12"/>
  <c r="I65" i="12" s="1"/>
  <c r="I66" i="12" s="1"/>
  <c r="H67" i="12" s="1"/>
  <c r="I67" i="12" s="1"/>
  <c r="H27" i="10"/>
  <c r="I27" i="10" s="1"/>
  <c r="A15" i="10" a="1"/>
  <c r="A15" i="10" s="1"/>
  <c r="A128" i="10" a="1"/>
  <c r="A128" i="10" s="1"/>
  <c r="A159" i="10" a="1"/>
  <c r="A159" i="10" s="1"/>
  <c r="H110" i="10"/>
  <c r="I110" i="10" s="1"/>
  <c r="A81" i="5" a="1"/>
  <c r="A81" i="5" s="1"/>
  <c r="H82" i="5"/>
  <c r="I82" i="5" s="1"/>
  <c r="H83" i="5" s="1"/>
  <c r="I20" i="5"/>
  <c r="A20" i="5" s="1" a="1"/>
  <c r="A20" i="5" s="1"/>
  <c r="M13" i="4"/>
  <c r="N13" i="4"/>
  <c r="M20" i="4"/>
  <c r="N20" i="4"/>
  <c r="N48" i="4"/>
  <c r="L2" i="4"/>
  <c r="M2" i="4" s="1"/>
  <c r="L3" i="4" s="1"/>
  <c r="M3" i="4" s="1"/>
  <c r="L4" i="4"/>
  <c r="M4" i="4" s="1"/>
  <c r="H5" i="4"/>
  <c r="F5" i="3"/>
  <c r="G5" i="3"/>
  <c r="F6" i="3" s="1"/>
  <c r="G6" i="3" s="1"/>
  <c r="J40" i="3"/>
  <c r="K40" i="3" s="1"/>
  <c r="J39" i="3"/>
  <c r="K39" i="3" s="1"/>
  <c r="J4" i="3"/>
  <c r="K4" i="3" s="1"/>
  <c r="I4" i="3"/>
  <c r="J3" i="3"/>
  <c r="K3" i="3" s="1"/>
  <c r="I3" i="3"/>
  <c r="J2" i="3"/>
  <c r="K2" i="3" s="1"/>
  <c r="I2" i="3"/>
  <c r="H75" i="13" l="1"/>
  <c r="I75" i="13" s="1"/>
  <c r="H72" i="13"/>
  <c r="I72" i="13" s="1"/>
  <c r="H73" i="13"/>
  <c r="I73" i="13" s="1"/>
  <c r="I102" i="14"/>
  <c r="H103" i="14" s="1"/>
  <c r="H107" i="14"/>
  <c r="H73" i="12"/>
  <c r="I73" i="12" s="1"/>
  <c r="H74" i="12" s="1"/>
  <c r="I74" i="12" s="1"/>
  <c r="H76" i="12" s="1"/>
  <c r="H71" i="12"/>
  <c r="I71" i="12" s="1"/>
  <c r="H78" i="12"/>
  <c r="I78" i="12" s="1"/>
  <c r="H79" i="12" s="1"/>
  <c r="I79" i="12" s="1"/>
  <c r="H81" i="12" s="1"/>
  <c r="H28" i="10"/>
  <c r="I28" i="10" s="1"/>
  <c r="A16" i="10" a="1"/>
  <c r="A16" i="10" s="1"/>
  <c r="A160" i="10" a="1"/>
  <c r="A160" i="10" s="1"/>
  <c r="A82" i="5" a="1"/>
  <c r="A82" i="5" s="1"/>
  <c r="H21" i="5"/>
  <c r="I21" i="5" s="1"/>
  <c r="L5" i="4"/>
  <c r="I5" i="4"/>
  <c r="H6" i="4"/>
  <c r="J6" i="3"/>
  <c r="K6" i="3" s="1"/>
  <c r="F7" i="3"/>
  <c r="J5" i="3"/>
  <c r="K5" i="3" s="1"/>
  <c r="I6" i="3"/>
  <c r="I74" i="13" l="1"/>
  <c r="H74" i="13"/>
  <c r="H76" i="13"/>
  <c r="I76" i="13" s="1"/>
  <c r="I103" i="14"/>
  <c r="H104" i="14" s="1"/>
  <c r="I104" i="14" s="1"/>
  <c r="H110" i="14" s="1"/>
  <c r="I110" i="14" s="1"/>
  <c r="H111" i="14" s="1"/>
  <c r="I111" i="14" s="1"/>
  <c r="I107" i="14"/>
  <c r="H112" i="14"/>
  <c r="I112" i="14" s="1"/>
  <c r="H113" i="14" s="1"/>
  <c r="I113" i="14" s="1"/>
  <c r="H114" i="14" s="1"/>
  <c r="I114" i="14" s="1"/>
  <c r="H120" i="14" s="1"/>
  <c r="H75" i="12"/>
  <c r="I75" i="12" s="1"/>
  <c r="I76" i="12" s="1"/>
  <c r="H83" i="12"/>
  <c r="I83" i="12" s="1"/>
  <c r="H84" i="12" s="1"/>
  <c r="I84" i="12" s="1"/>
  <c r="H86" i="12" s="1"/>
  <c r="H80" i="12"/>
  <c r="I80" i="12" s="1"/>
  <c r="I81" i="12" s="1"/>
  <c r="H82" i="12" s="1"/>
  <c r="I82" i="12" s="1"/>
  <c r="H72" i="12"/>
  <c r="I72" i="12" s="1"/>
  <c r="H29" i="10"/>
  <c r="I29" i="10" s="1"/>
  <c r="A99" i="10" a="1"/>
  <c r="A99" i="10" s="1"/>
  <c r="A205" i="10" a="1"/>
  <c r="A205" i="10" s="1"/>
  <c r="A21" i="5" a="1"/>
  <c r="A21" i="5" s="1"/>
  <c r="H24" i="5"/>
  <c r="I24" i="5" s="1"/>
  <c r="A32" i="5" a="1"/>
  <c r="A32" i="5" s="1"/>
  <c r="M5" i="4"/>
  <c r="L6" i="4" s="1"/>
  <c r="M6" i="4" s="1"/>
  <c r="L7" i="4" s="1"/>
  <c r="M7" i="4" s="1"/>
  <c r="I6" i="4"/>
  <c r="I7" i="3"/>
  <c r="G7" i="3"/>
  <c r="H80" i="13" l="1"/>
  <c r="I80" i="13" s="1"/>
  <c r="H77" i="13"/>
  <c r="I77" i="13" s="1"/>
  <c r="H78" i="13"/>
  <c r="I78" i="13" s="1"/>
  <c r="I120" i="14"/>
  <c r="H121" i="14" s="1"/>
  <c r="I121" i="14" s="1"/>
  <c r="H108" i="14"/>
  <c r="H88" i="12"/>
  <c r="I88" i="12" s="1"/>
  <c r="H89" i="12" s="1"/>
  <c r="I89" i="12" s="1"/>
  <c r="H85" i="12"/>
  <c r="I85" i="12" s="1"/>
  <c r="I86" i="12" s="1"/>
  <c r="H87" i="12" s="1"/>
  <c r="I87" i="12" s="1"/>
  <c r="H30" i="10"/>
  <c r="I30" i="10" s="1"/>
  <c r="A100" i="10" a="1"/>
  <c r="A100" i="10" s="1"/>
  <c r="A43" i="10" a="1"/>
  <c r="A43" i="10" s="1"/>
  <c r="A47" i="10" a="1"/>
  <c r="A47" i="10" s="1"/>
  <c r="A24" i="5" a="1"/>
  <c r="A24" i="5" s="1"/>
  <c r="H25" i="5"/>
  <c r="I25" i="5" s="1"/>
  <c r="H33" i="5"/>
  <c r="I33" i="5" s="1"/>
  <c r="A33" i="5" s="1" a="1"/>
  <c r="A33" i="5" s="1"/>
  <c r="L8" i="4"/>
  <c r="H7" i="4"/>
  <c r="J7" i="3"/>
  <c r="K7" i="3" s="1"/>
  <c r="F8" i="3"/>
  <c r="I79" i="13" l="1"/>
  <c r="H79" i="13"/>
  <c r="H81" i="13"/>
  <c r="I81" i="13" s="1"/>
  <c r="I108" i="14"/>
  <c r="H122" i="14"/>
  <c r="I122" i="14" s="1"/>
  <c r="H123" i="14" s="1"/>
  <c r="I123" i="14" s="1"/>
  <c r="H124" i="14" s="1"/>
  <c r="I124" i="14" s="1"/>
  <c r="H130" i="14" s="1"/>
  <c r="H93" i="12"/>
  <c r="I93" i="12" s="1"/>
  <c r="H94" i="12" s="1"/>
  <c r="I94" i="12" s="1"/>
  <c r="H90" i="12"/>
  <c r="I90" i="12" s="1"/>
  <c r="I91" i="12" s="1"/>
  <c r="H92" i="12" s="1"/>
  <c r="I92" i="12" s="1"/>
  <c r="H31" i="10"/>
  <c r="I31" i="10" s="1"/>
  <c r="A129" i="10" a="1"/>
  <c r="A129" i="10" s="1"/>
  <c r="A48" i="10" a="1"/>
  <c r="A48" i="10" s="1"/>
  <c r="A44" i="10" a="1"/>
  <c r="A44" i="10" s="1"/>
  <c r="A25" i="5" a="1"/>
  <c r="A25" i="5" s="1"/>
  <c r="H26" i="5"/>
  <c r="I26" i="5" s="1"/>
  <c r="M8" i="4"/>
  <c r="L9" i="4" s="1"/>
  <c r="M9" i="4" s="1"/>
  <c r="L10" i="4" s="1"/>
  <c r="M10" i="4" s="1"/>
  <c r="N10" i="4" s="1"/>
  <c r="I7" i="4"/>
  <c r="G8" i="3"/>
  <c r="I8" i="3"/>
  <c r="H85" i="13" l="1"/>
  <c r="I85" i="13" s="1"/>
  <c r="H82" i="13"/>
  <c r="I82" i="13" s="1"/>
  <c r="H83" i="13"/>
  <c r="I83" i="13" s="1"/>
  <c r="I130" i="14"/>
  <c r="H131" i="14" s="1"/>
  <c r="I131" i="14" s="1"/>
  <c r="H109" i="14"/>
  <c r="H98" i="12"/>
  <c r="I98" i="12" s="1"/>
  <c r="H99" i="12" s="1"/>
  <c r="I95" i="12"/>
  <c r="I96" i="12" s="1"/>
  <c r="H97" i="12" s="1"/>
  <c r="I97" i="12" s="1"/>
  <c r="A17" i="10" a="1"/>
  <c r="A17" i="10" s="1"/>
  <c r="H32" i="10"/>
  <c r="I32" i="10" s="1"/>
  <c r="A174" i="10" a="1"/>
  <c r="A174" i="10" s="1"/>
  <c r="A111" i="10" a="1"/>
  <c r="A111" i="10" s="1"/>
  <c r="A26" i="5" a="1"/>
  <c r="A26" i="5" s="1"/>
  <c r="H29" i="5"/>
  <c r="I29" i="5" s="1"/>
  <c r="L11" i="4"/>
  <c r="H8" i="4"/>
  <c r="F9" i="3"/>
  <c r="J8" i="3"/>
  <c r="K8" i="3" s="1"/>
  <c r="H84" i="13" l="1"/>
  <c r="I84" i="13" s="1"/>
  <c r="I86" i="13"/>
  <c r="H86" i="13"/>
  <c r="I109" i="14"/>
  <c r="H115" i="14" s="1"/>
  <c r="H133" i="14"/>
  <c r="I133" i="14" s="1"/>
  <c r="H134" i="14" s="1"/>
  <c r="I134" i="14" s="1"/>
  <c r="H140" i="14" s="1"/>
  <c r="H132" i="14"/>
  <c r="I99" i="12"/>
  <c r="H103" i="12" s="1"/>
  <c r="A18" i="10" a="1"/>
  <c r="A18" i="10" s="1"/>
  <c r="H33" i="10"/>
  <c r="I33" i="10" s="1"/>
  <c r="A112" i="10" a="1"/>
  <c r="A112" i="10" s="1"/>
  <c r="A175" i="10" a="1"/>
  <c r="A175" i="10" s="1"/>
  <c r="A29" i="5" a="1"/>
  <c r="A29" i="5" s="1"/>
  <c r="H30" i="5"/>
  <c r="I30" i="5" s="1"/>
  <c r="M11" i="4"/>
  <c r="L12" i="4" s="1"/>
  <c r="M12" i="4" s="1"/>
  <c r="I8" i="4"/>
  <c r="I9" i="3"/>
  <c r="G9" i="3"/>
  <c r="H90" i="13" l="1"/>
  <c r="I90" i="13" s="1"/>
  <c r="H88" i="13"/>
  <c r="I88" i="13" s="1"/>
  <c r="H87" i="13"/>
  <c r="I87" i="13" s="1"/>
  <c r="I115" i="14"/>
  <c r="H116" i="14" s="1"/>
  <c r="I116" i="14" s="1"/>
  <c r="H117" i="14" s="1"/>
  <c r="I117" i="14" s="1"/>
  <c r="H118" i="14" s="1"/>
  <c r="I118" i="14" s="1"/>
  <c r="H119" i="14" s="1"/>
  <c r="I119" i="14" s="1"/>
  <c r="H125" i="14" s="1"/>
  <c r="I125" i="14" s="1"/>
  <c r="H126" i="14" s="1"/>
  <c r="I126" i="14" s="1"/>
  <c r="H128" i="14"/>
  <c r="I128" i="14" s="1"/>
  <c r="H129" i="14" s="1"/>
  <c r="I129" i="14" s="1"/>
  <c r="H135" i="14" s="1"/>
  <c r="I135" i="14" s="1"/>
  <c r="H136" i="14" s="1"/>
  <c r="I136" i="14" s="1"/>
  <c r="H127" i="14"/>
  <c r="I132" i="14"/>
  <c r="I140" i="14"/>
  <c r="H141" i="14" s="1"/>
  <c r="I141" i="14" s="1"/>
  <c r="H138" i="14"/>
  <c r="I138" i="14" s="1"/>
  <c r="H139" i="14" s="1"/>
  <c r="I139" i="14" s="1"/>
  <c r="H145" i="14" s="1"/>
  <c r="H137" i="14"/>
  <c r="H100" i="12"/>
  <c r="I100" i="12" s="1"/>
  <c r="H34" i="10"/>
  <c r="I34" i="10" s="1"/>
  <c r="A101" i="10" a="1"/>
  <c r="A101" i="10" s="1"/>
  <c r="A206" i="10" a="1"/>
  <c r="A206" i="10" s="1"/>
  <c r="H31" i="5"/>
  <c r="I31" i="5" s="1"/>
  <c r="A30" i="5" a="1"/>
  <c r="A30" i="5" s="1"/>
  <c r="L14" i="4"/>
  <c r="M14" i="4" s="1"/>
  <c r="H9" i="4"/>
  <c r="J9" i="3"/>
  <c r="K9" i="3" s="1"/>
  <c r="F10" i="3"/>
  <c r="G10" i="3" s="1"/>
  <c r="H89" i="13" l="1"/>
  <c r="I89" i="13" s="1"/>
  <c r="H91" i="13"/>
  <c r="I91" i="13" s="1"/>
  <c r="I127" i="14"/>
  <c r="I137" i="14"/>
  <c r="I145" i="14"/>
  <c r="H146" i="14" s="1"/>
  <c r="I146" i="14" s="1"/>
  <c r="H143" i="14"/>
  <c r="I143" i="14" s="1"/>
  <c r="H144" i="14" s="1"/>
  <c r="I144" i="14" s="1"/>
  <c r="H150" i="14" s="1"/>
  <c r="H142" i="14"/>
  <c r="H101" i="12"/>
  <c r="I101" i="12" s="1"/>
  <c r="A102" i="10" a="1"/>
  <c r="A102" i="10" s="1"/>
  <c r="H35" i="10"/>
  <c r="I35" i="10" s="1"/>
  <c r="A45" i="10" a="1"/>
  <c r="A45" i="10" s="1"/>
  <c r="A31" i="5" a="1"/>
  <c r="A31" i="5" s="1"/>
  <c r="H34" i="5"/>
  <c r="I34" i="5" s="1"/>
  <c r="I9" i="4"/>
  <c r="F11" i="3"/>
  <c r="G11" i="3" s="1"/>
  <c r="J10" i="3"/>
  <c r="K10" i="3" s="1"/>
  <c r="H95" i="13" l="1"/>
  <c r="I95" i="13" s="1"/>
  <c r="H92" i="13"/>
  <c r="I92" i="13" s="1"/>
  <c r="H93" i="13" s="1"/>
  <c r="I93" i="13" s="1"/>
  <c r="I142" i="14"/>
  <c r="I150" i="14"/>
  <c r="H151" i="14" s="1"/>
  <c r="I151" i="14" s="1"/>
  <c r="H148" i="14"/>
  <c r="I148" i="14" s="1"/>
  <c r="H149" i="14" s="1"/>
  <c r="I149" i="14" s="1"/>
  <c r="H155" i="14" s="1"/>
  <c r="H147" i="14"/>
  <c r="H102" i="12"/>
  <c r="I102" i="12" s="1"/>
  <c r="A130" i="10" a="1"/>
  <c r="A130" i="10" s="1"/>
  <c r="H36" i="10"/>
  <c r="I36" i="10" s="1"/>
  <c r="A46" i="10" a="1"/>
  <c r="A46" i="10" s="1"/>
  <c r="A34" i="5" a="1"/>
  <c r="A34" i="5" s="1"/>
  <c r="H35" i="5"/>
  <c r="I35" i="5" s="1"/>
  <c r="I83" i="5"/>
  <c r="A83" i="5" s="1" a="1"/>
  <c r="A83" i="5" s="1"/>
  <c r="H10" i="4"/>
  <c r="J11" i="3"/>
  <c r="K11" i="3" s="1"/>
  <c r="F12" i="3"/>
  <c r="G12" i="3" s="1"/>
  <c r="H94" i="13" l="1"/>
  <c r="I94" i="13" s="1"/>
  <c r="H96" i="13"/>
  <c r="I96" i="13" s="1"/>
  <c r="I147" i="14"/>
  <c r="I155" i="14"/>
  <c r="H156" i="14" s="1"/>
  <c r="I156" i="14" s="1"/>
  <c r="H153" i="14"/>
  <c r="I153" i="14" s="1"/>
  <c r="H154" i="14" s="1"/>
  <c r="I154" i="14" s="1"/>
  <c r="H160" i="14" s="1"/>
  <c r="H152" i="14"/>
  <c r="I103" i="12"/>
  <c r="H104" i="12" s="1"/>
  <c r="H37" i="10"/>
  <c r="I37" i="10" s="1"/>
  <c r="A19" i="10" a="1"/>
  <c r="A19" i="10" s="1"/>
  <c r="A176" i="10" a="1"/>
  <c r="A176" i="10" s="1"/>
  <c r="A35" i="5" a="1"/>
  <c r="A35" i="5" s="1"/>
  <c r="H36" i="5"/>
  <c r="I36" i="5" s="1"/>
  <c r="H53" i="5" s="1"/>
  <c r="H84" i="5"/>
  <c r="I84" i="5" s="1"/>
  <c r="A84" i="5" s="1" a="1"/>
  <c r="A84" i="5" s="1"/>
  <c r="I10" i="4"/>
  <c r="H11" i="4" s="1"/>
  <c r="F13" i="3"/>
  <c r="G13" i="3" s="1"/>
  <c r="J12" i="3"/>
  <c r="K12" i="3" s="1"/>
  <c r="H100" i="13" l="1"/>
  <c r="I100" i="13" s="1"/>
  <c r="H98" i="13"/>
  <c r="I98" i="13" s="1"/>
  <c r="H97" i="13"/>
  <c r="I97" i="13" s="1"/>
  <c r="I152" i="14"/>
  <c r="I160" i="14"/>
  <c r="H161" i="14" s="1"/>
  <c r="I161" i="14" s="1"/>
  <c r="H158" i="14"/>
  <c r="I158" i="14" s="1"/>
  <c r="H159" i="14" s="1"/>
  <c r="I159" i="14" s="1"/>
  <c r="H165" i="14" s="1"/>
  <c r="H157" i="14"/>
  <c r="I104" i="12"/>
  <c r="H108" i="12" s="1"/>
  <c r="I108" i="12" s="1"/>
  <c r="H109" i="12" s="1"/>
  <c r="I109" i="12" s="1"/>
  <c r="H38" i="10"/>
  <c r="I38" i="10" s="1"/>
  <c r="A20" i="10" a="1"/>
  <c r="A20" i="10" s="1"/>
  <c r="A177" i="10" a="1"/>
  <c r="A177" i="10" s="1"/>
  <c r="A36" i="5" a="1"/>
  <c r="A36" i="5" s="1"/>
  <c r="H85" i="5"/>
  <c r="I85" i="5" s="1"/>
  <c r="L15" i="4"/>
  <c r="I11" i="4"/>
  <c r="J13" i="3"/>
  <c r="K13" i="3" s="1"/>
  <c r="I13" i="3"/>
  <c r="F14" i="3"/>
  <c r="G14" i="3" s="1"/>
  <c r="H99" i="13" l="1"/>
  <c r="I99" i="13" s="1"/>
  <c r="I101" i="13"/>
  <c r="H101" i="13"/>
  <c r="I157" i="14"/>
  <c r="I165" i="14"/>
  <c r="H166" i="14" s="1"/>
  <c r="I166" i="14" s="1"/>
  <c r="H163" i="14"/>
  <c r="I163" i="14" s="1"/>
  <c r="H164" i="14" s="1"/>
  <c r="I164" i="14" s="1"/>
  <c r="H170" i="14" s="1"/>
  <c r="H162" i="14"/>
  <c r="H113" i="12"/>
  <c r="I113" i="12" s="1"/>
  <c r="H114" i="12" s="1"/>
  <c r="I114" i="12" s="1"/>
  <c r="H110" i="12"/>
  <c r="I110" i="12" s="1"/>
  <c r="I111" i="12" s="1"/>
  <c r="H112" i="12" s="1"/>
  <c r="I112" i="12" s="1"/>
  <c r="I105" i="12"/>
  <c r="A144" i="10" a="1"/>
  <c r="A144" i="10" s="1"/>
  <c r="H39" i="10"/>
  <c r="I39" i="10" s="1"/>
  <c r="A207" i="10" a="1"/>
  <c r="A207" i="10" s="1"/>
  <c r="A85" i="5" a="1"/>
  <c r="A85" i="5" s="1"/>
  <c r="H86" i="5"/>
  <c r="I86" i="5" s="1"/>
  <c r="A86" i="5" s="1" a="1"/>
  <c r="A86" i="5" s="1"/>
  <c r="M15" i="4"/>
  <c r="L16" i="4" s="1"/>
  <c r="M16" i="4" s="1"/>
  <c r="H12" i="4"/>
  <c r="F15" i="3"/>
  <c r="G15" i="3" s="1"/>
  <c r="I14" i="3"/>
  <c r="J14" i="3"/>
  <c r="K14" i="3" s="1"/>
  <c r="H105" i="13" l="1"/>
  <c r="I105" i="13" s="1"/>
  <c r="H102" i="13"/>
  <c r="I102" i="13" s="1"/>
  <c r="H103" i="13" s="1"/>
  <c r="I103" i="13" s="1"/>
  <c r="I162" i="14"/>
  <c r="I170" i="14"/>
  <c r="H171" i="14" s="1"/>
  <c r="I171" i="14" s="1"/>
  <c r="H168" i="14"/>
  <c r="I168" i="14" s="1"/>
  <c r="H169" i="14" s="1"/>
  <c r="I169" i="14" s="1"/>
  <c r="H167" i="14"/>
  <c r="H118" i="12"/>
  <c r="I118" i="12" s="1"/>
  <c r="H115" i="12"/>
  <c r="I115" i="12" s="1"/>
  <c r="I116" i="12" s="1"/>
  <c r="H117" i="12" s="1"/>
  <c r="I117" i="12" s="1"/>
  <c r="I106" i="12"/>
  <c r="A145" i="10" a="1"/>
  <c r="A145" i="10" s="1"/>
  <c r="H40" i="10"/>
  <c r="I40" i="10" s="1"/>
  <c r="H87" i="5"/>
  <c r="I87" i="5" s="1"/>
  <c r="I12" i="4"/>
  <c r="F16" i="3"/>
  <c r="G16" i="3" s="1"/>
  <c r="J15" i="3"/>
  <c r="K15" i="3" s="1"/>
  <c r="I15" i="3"/>
  <c r="H104" i="13" l="1"/>
  <c r="I104" i="13" s="1"/>
  <c r="H106" i="13"/>
  <c r="I106" i="13" s="1"/>
  <c r="I167" i="14"/>
  <c r="H175" i="14"/>
  <c r="I175" i="14" s="1"/>
  <c r="H176" i="14" s="1"/>
  <c r="I176" i="14" s="1"/>
  <c r="H173" i="14"/>
  <c r="I173" i="14" s="1"/>
  <c r="H174" i="14" s="1"/>
  <c r="I174" i="14" s="1"/>
  <c r="H179" i="14" s="1"/>
  <c r="H172" i="14"/>
  <c r="H119" i="12"/>
  <c r="I119" i="12" s="1"/>
  <c r="H107" i="12"/>
  <c r="I107" i="12" s="1"/>
  <c r="A146" i="10" a="1"/>
  <c r="A146" i="10" s="1"/>
  <c r="H41" i="10"/>
  <c r="I41" i="10" s="1"/>
  <c r="A87" i="5" a="1"/>
  <c r="A87" i="5" s="1"/>
  <c r="H88" i="5"/>
  <c r="I88" i="5" s="1"/>
  <c r="N12" i="4"/>
  <c r="H14" i="4"/>
  <c r="J16" i="3"/>
  <c r="K16" i="3" s="1"/>
  <c r="F17" i="3"/>
  <c r="G17" i="3" s="1"/>
  <c r="H110" i="13" l="1"/>
  <c r="I110" i="13" s="1"/>
  <c r="H107" i="13"/>
  <c r="I107" i="13" s="1"/>
  <c r="H108" i="13" s="1"/>
  <c r="I108" i="13" s="1"/>
  <c r="I172" i="14"/>
  <c r="I179" i="14"/>
  <c r="H180" i="14" s="1"/>
  <c r="I180" i="14" s="1"/>
  <c r="H177" i="14"/>
  <c r="H123" i="12"/>
  <c r="H120" i="12"/>
  <c r="I120" i="12" s="1"/>
  <c r="A200" i="10" a="1"/>
  <c r="A200" i="10" s="1"/>
  <c r="H42" i="10"/>
  <c r="I42" i="10" s="1"/>
  <c r="A88" i="5" a="1"/>
  <c r="A88" i="5" s="1"/>
  <c r="H89" i="5"/>
  <c r="I89" i="5" s="1"/>
  <c r="A89" i="5" s="1" a="1"/>
  <c r="A89" i="5" s="1"/>
  <c r="L17" i="4"/>
  <c r="M17" i="4" s="1"/>
  <c r="I14" i="4"/>
  <c r="J17" i="3"/>
  <c r="K17" i="3" s="1"/>
  <c r="F18" i="3"/>
  <c r="G18" i="3" s="1"/>
  <c r="H109" i="13" l="1"/>
  <c r="I109" i="13" s="1"/>
  <c r="H111" i="13"/>
  <c r="I111" i="13" s="1"/>
  <c r="I177" i="14"/>
  <c r="H181" i="14"/>
  <c r="I181" i="14" s="1"/>
  <c r="H182" i="14" s="1"/>
  <c r="I182" i="14" s="1"/>
  <c r="I121" i="12"/>
  <c r="A21" i="10" a="1"/>
  <c r="A21" i="10" s="1"/>
  <c r="H43" i="10"/>
  <c r="I43" i="10" s="1"/>
  <c r="H90" i="5"/>
  <c r="I90" i="5" s="1"/>
  <c r="A90" i="5" s="1" a="1"/>
  <c r="A90" i="5" s="1"/>
  <c r="H15" i="4"/>
  <c r="F19" i="3"/>
  <c r="G19" i="3" s="1"/>
  <c r="J18" i="3"/>
  <c r="K18" i="3" s="1"/>
  <c r="H115" i="13" l="1"/>
  <c r="I115" i="13" s="1"/>
  <c r="H112" i="13"/>
  <c r="I112" i="13" s="1"/>
  <c r="H113" i="13" s="1"/>
  <c r="I113" i="13" s="1"/>
  <c r="H178" i="14"/>
  <c r="H122" i="12"/>
  <c r="I122" i="12" s="1"/>
  <c r="H44" i="10"/>
  <c r="I44" i="10" s="1"/>
  <c r="A22" i="10" a="1"/>
  <c r="A22" i="10" s="1"/>
  <c r="H91" i="5"/>
  <c r="I91" i="5" s="1"/>
  <c r="A91" i="5" s="1" a="1"/>
  <c r="A91" i="5" s="1"/>
  <c r="L18" i="4"/>
  <c r="I15" i="4"/>
  <c r="F20" i="3"/>
  <c r="G20" i="3" s="1"/>
  <c r="J19" i="3"/>
  <c r="K19" i="3" s="1"/>
  <c r="I19" i="3"/>
  <c r="H114" i="13" l="1"/>
  <c r="I114" i="13" s="1"/>
  <c r="H116" i="13"/>
  <c r="I116" i="13" s="1"/>
  <c r="I178" i="14"/>
  <c r="H183" i="14" s="1"/>
  <c r="I123" i="12"/>
  <c r="A147" i="10" a="1"/>
  <c r="A147" i="10" s="1"/>
  <c r="H45" i="10"/>
  <c r="I45" i="10" s="1"/>
  <c r="H92" i="5"/>
  <c r="I92" i="5" s="1"/>
  <c r="A92" i="5" s="1" a="1"/>
  <c r="A92" i="5" s="1"/>
  <c r="M18" i="4"/>
  <c r="L19" i="4" s="1"/>
  <c r="M19" i="4" s="1"/>
  <c r="N19" i="4" s="1"/>
  <c r="L21" i="4"/>
  <c r="M21" i="4" s="1"/>
  <c r="H16" i="4"/>
  <c r="F21" i="3"/>
  <c r="G21" i="3" s="1"/>
  <c r="J20" i="3"/>
  <c r="K20" i="3" s="1"/>
  <c r="I20" i="3"/>
  <c r="H120" i="13" l="1"/>
  <c r="I120" i="13" s="1"/>
  <c r="H117" i="13"/>
  <c r="I117" i="13" s="1"/>
  <c r="H118" i="13" s="1"/>
  <c r="I118" i="13" s="1"/>
  <c r="I183" i="14"/>
  <c r="H184" i="14" s="1"/>
  <c r="I184" i="14" s="1"/>
  <c r="I187" i="14"/>
  <c r="H188" i="14" s="1"/>
  <c r="I188" i="14" s="1"/>
  <c r="H185" i="14"/>
  <c r="H124" i="12"/>
  <c r="I124" i="12" s="1"/>
  <c r="A148" i="10" a="1"/>
  <c r="A148" i="10" s="1"/>
  <c r="H46" i="10"/>
  <c r="I46" i="10" s="1"/>
  <c r="H93" i="5"/>
  <c r="I93" i="5" s="1"/>
  <c r="A93" i="5" s="1" a="1"/>
  <c r="A93" i="5" s="1"/>
  <c r="I16" i="4"/>
  <c r="I21" i="3"/>
  <c r="J21" i="3"/>
  <c r="K21" i="3" s="1"/>
  <c r="F22" i="3"/>
  <c r="G22" i="3" s="1"/>
  <c r="D7" i="16" l="1"/>
  <c r="H119" i="13"/>
  <c r="I119" i="13" s="1"/>
  <c r="H121" i="13"/>
  <c r="I121" i="13" s="1"/>
  <c r="I185" i="14"/>
  <c r="H186" i="14" s="1"/>
  <c r="I186" i="14" s="1"/>
  <c r="I192" i="14"/>
  <c r="H193" i="14" s="1"/>
  <c r="I193" i="14" s="1"/>
  <c r="H190" i="14"/>
  <c r="I190" i="14" s="1"/>
  <c r="H191" i="14" s="1"/>
  <c r="I191" i="14" s="1"/>
  <c r="H128" i="12"/>
  <c r="H126" i="12"/>
  <c r="H125" i="12"/>
  <c r="I125" i="12" s="1"/>
  <c r="A191" i="10" a="1"/>
  <c r="A191" i="10" s="1"/>
  <c r="H47" i="10"/>
  <c r="I47" i="10" s="1"/>
  <c r="H94" i="5"/>
  <c r="I94" i="5" s="1"/>
  <c r="A94" i="5" s="1" a="1"/>
  <c r="A94" i="5" s="1"/>
  <c r="H17" i="4"/>
  <c r="F23" i="3"/>
  <c r="G23" i="3" s="1"/>
  <c r="J22" i="3"/>
  <c r="K22" i="3" s="1"/>
  <c r="H125" i="13" l="1"/>
  <c r="I125" i="13" s="1"/>
  <c r="H122" i="13"/>
  <c r="I122" i="13" s="1"/>
  <c r="H123" i="13" s="1"/>
  <c r="I123" i="13" s="1"/>
  <c r="H197" i="14"/>
  <c r="I197" i="14"/>
  <c r="H195" i="14"/>
  <c r="I195" i="14" s="1"/>
  <c r="H194" i="14"/>
  <c r="I126" i="12"/>
  <c r="H48" i="10"/>
  <c r="I48" i="10" s="1"/>
  <c r="A23" i="10" a="1"/>
  <c r="A23" i="10" s="1"/>
  <c r="H95" i="5"/>
  <c r="I95" i="5" s="1"/>
  <c r="A95" i="5" s="1" a="1"/>
  <c r="A95" i="5" s="1"/>
  <c r="I17" i="4"/>
  <c r="F24" i="3"/>
  <c r="G24" i="3" s="1"/>
  <c r="J23" i="3"/>
  <c r="K23" i="3" s="1"/>
  <c r="H124" i="13" l="1"/>
  <c r="I124" i="13" s="1"/>
  <c r="H126" i="13"/>
  <c r="I126" i="13" s="1"/>
  <c r="H196" i="14"/>
  <c r="I196" i="14" s="1"/>
  <c r="H198" i="14"/>
  <c r="I198" i="14" s="1"/>
  <c r="I203" i="14"/>
  <c r="H205" i="14" s="1"/>
  <c r="I205" i="14" s="1"/>
  <c r="I208" i="14"/>
  <c r="I194" i="14"/>
  <c r="H127" i="12"/>
  <c r="I127" i="12" s="1"/>
  <c r="A24" i="10" a="1"/>
  <c r="A24" i="10" s="1"/>
  <c r="H49" i="10"/>
  <c r="I49" i="10" s="1"/>
  <c r="H96" i="5"/>
  <c r="I96" i="5" s="1"/>
  <c r="A96" i="5" s="1" a="1"/>
  <c r="A96" i="5" s="1"/>
  <c r="L22" i="4"/>
  <c r="H18" i="4"/>
  <c r="F25" i="3"/>
  <c r="G25" i="3" s="1"/>
  <c r="J24" i="3"/>
  <c r="K24" i="3" s="1"/>
  <c r="D4" i="16" l="1"/>
  <c r="D6" i="16"/>
  <c r="H130" i="13"/>
  <c r="I130" i="13" s="1"/>
  <c r="H128" i="13"/>
  <c r="I128" i="13" s="1"/>
  <c r="H127" i="13"/>
  <c r="I127" i="13" s="1"/>
  <c r="H4" i="15"/>
  <c r="H206" i="14"/>
  <c r="I206" i="14" s="1"/>
  <c r="H212" i="14" s="1"/>
  <c r="H202" i="14"/>
  <c r="I202" i="14" s="1"/>
  <c r="I213" i="14" s="1"/>
  <c r="I207" i="14"/>
  <c r="H200" i="14"/>
  <c r="I200" i="14" s="1"/>
  <c r="H199" i="14"/>
  <c r="I199" i="14" s="1"/>
  <c r="I214" i="14"/>
  <c r="I128" i="12"/>
  <c r="A149" i="10" a="1"/>
  <c r="A149" i="10" s="1"/>
  <c r="H50" i="10"/>
  <c r="I50" i="10" s="1"/>
  <c r="H97" i="5"/>
  <c r="I97" i="5" s="1"/>
  <c r="H98" i="5" s="1"/>
  <c r="I98" i="5" s="1"/>
  <c r="A98" i="5" s="1" a="1"/>
  <c r="A98" i="5" s="1"/>
  <c r="M22" i="4"/>
  <c r="L23" i="4" s="1"/>
  <c r="M23" i="4" s="1"/>
  <c r="I18" i="4"/>
  <c r="F26" i="3"/>
  <c r="G26" i="3" s="1"/>
  <c r="J25" i="3"/>
  <c r="K25" i="3" s="1"/>
  <c r="H5" i="15" l="1"/>
  <c r="H3" i="15" s="1"/>
  <c r="D3" i="16"/>
  <c r="H129" i="13"/>
  <c r="I129" i="13" s="1"/>
  <c r="I131" i="13"/>
  <c r="H131" i="13"/>
  <c r="I204" i="14"/>
  <c r="I215" i="14" s="1"/>
  <c r="H216" i="14" s="1"/>
  <c r="I216" i="14" s="1"/>
  <c r="I210" i="14"/>
  <c r="H211" i="14" s="1"/>
  <c r="H201" i="14"/>
  <c r="I201" i="14" s="1"/>
  <c r="I212" i="14" s="1"/>
  <c r="I211" i="14"/>
  <c r="H129" i="12"/>
  <c r="I129" i="12" s="1"/>
  <c r="A150" i="10" a="1"/>
  <c r="A150" i="10" s="1"/>
  <c r="H51" i="10"/>
  <c r="I51" i="10" s="1"/>
  <c r="A97" i="5" a="1"/>
  <c r="A97" i="5" s="1"/>
  <c r="H99" i="5"/>
  <c r="I99" i="5" s="1"/>
  <c r="H100" i="5" s="1"/>
  <c r="I100" i="5" s="1"/>
  <c r="H19" i="4"/>
  <c r="F27" i="3"/>
  <c r="G27" i="3" s="1"/>
  <c r="J26" i="3"/>
  <c r="K26" i="3" s="1"/>
  <c r="H135" i="13" l="1"/>
  <c r="I135" i="13" s="1"/>
  <c r="H133" i="13"/>
  <c r="I133" i="13" s="1"/>
  <c r="H132" i="13"/>
  <c r="I132" i="13" s="1"/>
  <c r="H133" i="12"/>
  <c r="H131" i="12"/>
  <c r="H130" i="12"/>
  <c r="I130" i="12" s="1"/>
  <c r="A99" i="5" a="1"/>
  <c r="A99" i="5" s="1"/>
  <c r="H52" i="10"/>
  <c r="H101" i="5"/>
  <c r="I101" i="5" s="1"/>
  <c r="A100" i="5" a="1"/>
  <c r="A100" i="5" s="1"/>
  <c r="L24" i="4"/>
  <c r="M24" i="4" s="1"/>
  <c r="I19" i="4"/>
  <c r="F28" i="3"/>
  <c r="G28" i="3" s="1"/>
  <c r="J27" i="3"/>
  <c r="K27" i="3" s="1"/>
  <c r="H134" i="13" l="1"/>
  <c r="I134" i="13" s="1"/>
  <c r="H136" i="13"/>
  <c r="I136" i="13" s="1"/>
  <c r="I131" i="12"/>
  <c r="I52" i="10"/>
  <c r="H53" i="10" s="1"/>
  <c r="H102" i="5"/>
  <c r="I102" i="5" s="1"/>
  <c r="A101" i="5" a="1"/>
  <c r="A101" i="5" s="1"/>
  <c r="H21" i="4"/>
  <c r="J28" i="3"/>
  <c r="K28" i="3" s="1"/>
  <c r="F29" i="3"/>
  <c r="G29" i="3" s="1"/>
  <c r="H140" i="13" l="1"/>
  <c r="I140" i="13" s="1"/>
  <c r="H137" i="13"/>
  <c r="I137" i="13" s="1"/>
  <c r="H138" i="13"/>
  <c r="I138" i="13" s="1"/>
  <c r="H132" i="12"/>
  <c r="I132" i="12" s="1"/>
  <c r="I53" i="10"/>
  <c r="A26" i="10" s="1" a="1"/>
  <c r="A26" i="10" s="1"/>
  <c r="A25" i="10" a="1"/>
  <c r="A25" i="10" s="1"/>
  <c r="H103" i="5"/>
  <c r="I103" i="5" s="1"/>
  <c r="A102" i="5" a="1"/>
  <c r="A102" i="5" s="1"/>
  <c r="L25" i="4"/>
  <c r="I21" i="4"/>
  <c r="F30" i="3"/>
  <c r="G30" i="3" s="1"/>
  <c r="J29" i="3"/>
  <c r="K29" i="3" s="1"/>
  <c r="H139" i="13" l="1"/>
  <c r="I139" i="13" s="1"/>
  <c r="H141" i="13"/>
  <c r="I141" i="13" s="1"/>
  <c r="I133" i="12"/>
  <c r="H54" i="10"/>
  <c r="I54" i="10" s="1"/>
  <c r="A103" i="10" s="1" a="1"/>
  <c r="A103" i="10" s="1"/>
  <c r="H104" i="5"/>
  <c r="I104" i="5" s="1"/>
  <c r="A103" i="5" a="1"/>
  <c r="A103" i="5" s="1"/>
  <c r="M25" i="4"/>
  <c r="L26" i="4" s="1"/>
  <c r="M26" i="4" s="1"/>
  <c r="H22" i="4"/>
  <c r="J30" i="3"/>
  <c r="K30" i="3" s="1"/>
  <c r="F31" i="3"/>
  <c r="G31" i="3" s="1"/>
  <c r="H145" i="13" l="1"/>
  <c r="I145" i="13" s="1"/>
  <c r="H142" i="13"/>
  <c r="I142" i="13" s="1"/>
  <c r="H143" i="13"/>
  <c r="I143" i="13" s="1"/>
  <c r="H134" i="12"/>
  <c r="I134" i="12" s="1"/>
  <c r="H55" i="10"/>
  <c r="I55" i="10" s="1"/>
  <c r="A104" i="10" s="1" a="1"/>
  <c r="A104" i="10" s="1"/>
  <c r="H56" i="10"/>
  <c r="I56" i="10" s="1"/>
  <c r="A131" i="10" a="1"/>
  <c r="A131" i="10" s="1"/>
  <c r="H57" i="10"/>
  <c r="I57" i="10" s="1"/>
  <c r="H105" i="5"/>
  <c r="I105" i="5" s="1"/>
  <c r="A104" i="5" a="1"/>
  <c r="A104" i="5" s="1"/>
  <c r="I22" i="4"/>
  <c r="J31" i="3"/>
  <c r="K31" i="3" s="1"/>
  <c r="F32" i="3"/>
  <c r="G32" i="3" s="1"/>
  <c r="H144" i="13" l="1"/>
  <c r="I144" i="13" s="1"/>
  <c r="H146" i="13"/>
  <c r="I146" i="13" s="1"/>
  <c r="H138" i="12"/>
  <c r="H136" i="12"/>
  <c r="H135" i="12"/>
  <c r="I135" i="12" s="1"/>
  <c r="A27" i="10" a="1"/>
  <c r="A27" i="10" s="1"/>
  <c r="H58" i="10"/>
  <c r="I58" i="10" s="1"/>
  <c r="H106" i="5"/>
  <c r="I106" i="5" s="1"/>
  <c r="A105" i="5" a="1"/>
  <c r="A105" i="5" s="1"/>
  <c r="L27" i="4"/>
  <c r="M27" i="4" s="1"/>
  <c r="H23" i="4"/>
  <c r="F33" i="3"/>
  <c r="G33" i="3" s="1"/>
  <c r="J32" i="3"/>
  <c r="K32" i="3" s="1"/>
  <c r="H150" i="13" l="1"/>
  <c r="I150" i="13" s="1"/>
  <c r="H148" i="13"/>
  <c r="I148" i="13" s="1"/>
  <c r="H147" i="13"/>
  <c r="I147" i="13" s="1"/>
  <c r="I136" i="12"/>
  <c r="H59" i="10"/>
  <c r="I59" i="10" s="1"/>
  <c r="A28" i="10" a="1"/>
  <c r="A28" i="10" s="1"/>
  <c r="H107" i="5"/>
  <c r="I107" i="5" s="1"/>
  <c r="A107" i="5" s="1" a="1"/>
  <c r="A107" i="5" s="1"/>
  <c r="A106" i="5" a="1"/>
  <c r="A106" i="5" s="1"/>
  <c r="I23" i="4"/>
  <c r="F34" i="3"/>
  <c r="G34" i="3" s="1"/>
  <c r="J33" i="3"/>
  <c r="K33" i="3" s="1"/>
  <c r="H149" i="13" l="1"/>
  <c r="I149" i="13" s="1"/>
  <c r="H151" i="13"/>
  <c r="I151" i="13" s="1"/>
  <c r="H137" i="12"/>
  <c r="I137" i="12" s="1"/>
  <c r="H24" i="4"/>
  <c r="F35" i="3"/>
  <c r="G35" i="3" s="1"/>
  <c r="J34" i="3"/>
  <c r="K34" i="3" s="1"/>
  <c r="H155" i="13" l="1"/>
  <c r="I155" i="13" s="1"/>
  <c r="H152" i="13"/>
  <c r="I152" i="13" s="1"/>
  <c r="H153" i="13"/>
  <c r="I153" i="13" s="1"/>
  <c r="I138" i="12"/>
  <c r="A105" i="10" a="1"/>
  <c r="A105" i="10" s="1"/>
  <c r="H60" i="10"/>
  <c r="I60" i="10" s="1"/>
  <c r="I24" i="4"/>
  <c r="F36" i="3"/>
  <c r="G36" i="3" s="1"/>
  <c r="J35" i="3"/>
  <c r="K35" i="3" s="1"/>
  <c r="H154" i="13" l="1"/>
  <c r="I154" i="13" s="1"/>
  <c r="H156" i="13"/>
  <c r="I156" i="13" s="1"/>
  <c r="H139" i="12"/>
  <c r="I139" i="12" s="1"/>
  <c r="A106" i="10" a="1"/>
  <c r="A106" i="10" s="1"/>
  <c r="H61" i="10"/>
  <c r="I61" i="10" s="1"/>
  <c r="L28" i="4"/>
  <c r="H25" i="4"/>
  <c r="F37" i="3"/>
  <c r="G37" i="3" s="1"/>
  <c r="J36" i="3"/>
  <c r="K36" i="3" s="1"/>
  <c r="H160" i="13" l="1"/>
  <c r="I160" i="13" s="1"/>
  <c r="H157" i="13"/>
  <c r="I157" i="13" s="1"/>
  <c r="H158" i="13"/>
  <c r="I158" i="13" s="1"/>
  <c r="H143" i="12"/>
  <c r="I143" i="12" s="1"/>
  <c r="H144" i="12" s="1"/>
  <c r="I144" i="12" s="1"/>
  <c r="H146" i="12" s="1"/>
  <c r="H141" i="12"/>
  <c r="H140" i="12"/>
  <c r="I140" i="12" s="1"/>
  <c r="H62" i="10"/>
  <c r="I62" i="10" s="1"/>
  <c r="A132" i="10" a="1"/>
  <c r="A132" i="10" s="1"/>
  <c r="M28" i="4"/>
  <c r="L29" i="4" s="1"/>
  <c r="M29" i="4" s="1"/>
  <c r="I25" i="4"/>
  <c r="F38" i="3"/>
  <c r="G38" i="3" s="1"/>
  <c r="J37" i="3"/>
  <c r="K37" i="3" s="1"/>
  <c r="H159" i="13" l="1"/>
  <c r="I159" i="13" s="1"/>
  <c r="H161" i="13"/>
  <c r="I161" i="13" s="1"/>
  <c r="H145" i="12"/>
  <c r="I145" i="12" s="1"/>
  <c r="I146" i="12" s="1"/>
  <c r="H147" i="12" s="1"/>
  <c r="I147" i="12" s="1"/>
  <c r="H148" i="12"/>
  <c r="I148" i="12" s="1"/>
  <c r="H149" i="12" s="1"/>
  <c r="I149" i="12" s="1"/>
  <c r="H151" i="12" s="1"/>
  <c r="I141" i="12"/>
  <c r="H63" i="10"/>
  <c r="I63" i="10" s="1"/>
  <c r="A29" i="10" a="1"/>
  <c r="A29" i="10" s="1"/>
  <c r="H26" i="4"/>
  <c r="J38" i="3"/>
  <c r="K38" i="3" s="1"/>
  <c r="F39" i="3"/>
  <c r="G39" i="3" s="1"/>
  <c r="F40" i="3" s="1"/>
  <c r="G40" i="3" s="1"/>
  <c r="F41" i="3" s="1"/>
  <c r="G41" i="3" s="1"/>
  <c r="H165" i="13" l="1"/>
  <c r="I165" i="13" s="1"/>
  <c r="H163" i="13"/>
  <c r="I163" i="13" s="1"/>
  <c r="H162" i="13"/>
  <c r="I162" i="13" s="1"/>
  <c r="H150" i="12"/>
  <c r="I150" i="12" s="1"/>
  <c r="I151" i="12" s="1"/>
  <c r="H152" i="12" s="1"/>
  <c r="I152" i="12" s="1"/>
  <c r="H153" i="12"/>
  <c r="I153" i="12" s="1"/>
  <c r="H154" i="12" s="1"/>
  <c r="I154" i="12" s="1"/>
  <c r="H156" i="12" s="1"/>
  <c r="H142" i="12"/>
  <c r="I142" i="12" s="1"/>
  <c r="H64" i="10"/>
  <c r="I64" i="10" s="1"/>
  <c r="A30" i="10" a="1"/>
  <c r="A30" i="10" s="1"/>
  <c r="I26" i="4"/>
  <c r="F42" i="3"/>
  <c r="G42" i="3" s="1"/>
  <c r="J41" i="3"/>
  <c r="K41" i="3" s="1"/>
  <c r="H164" i="13" l="1"/>
  <c r="I164" i="13" s="1"/>
  <c r="H166" i="13"/>
  <c r="I166" i="13" s="1"/>
  <c r="H155" i="12"/>
  <c r="I155" i="12" s="1"/>
  <c r="I156" i="12" s="1"/>
  <c r="H157" i="12" s="1"/>
  <c r="I157" i="12" s="1"/>
  <c r="H158" i="12"/>
  <c r="I158" i="12" s="1"/>
  <c r="H159" i="12" s="1"/>
  <c r="I159" i="12" s="1"/>
  <c r="H161" i="12" s="1"/>
  <c r="H65" i="10"/>
  <c r="I65" i="10" s="1"/>
  <c r="A107" i="10" a="1"/>
  <c r="A107" i="10" s="1"/>
  <c r="L30" i="4"/>
  <c r="M30" i="4" s="1"/>
  <c r="H27" i="4"/>
  <c r="J42" i="3"/>
  <c r="K42" i="3" s="1"/>
  <c r="F43" i="3"/>
  <c r="G43" i="3" s="1"/>
  <c r="H170" i="13" l="1"/>
  <c r="I170" i="13" s="1"/>
  <c r="H167" i="13"/>
  <c r="I167" i="13" s="1"/>
  <c r="H168" i="13"/>
  <c r="I168" i="13" s="1"/>
  <c r="H160" i="12"/>
  <c r="I160" i="12" s="1"/>
  <c r="I161" i="12" s="1"/>
  <c r="H162" i="12" s="1"/>
  <c r="I162" i="12" s="1"/>
  <c r="H163" i="12"/>
  <c r="I163" i="12" s="1"/>
  <c r="H164" i="12" s="1"/>
  <c r="I164" i="12" s="1"/>
  <c r="H168" i="12"/>
  <c r="I168" i="12" s="1"/>
  <c r="H66" i="10"/>
  <c r="I66" i="10" s="1"/>
  <c r="A108" i="10" a="1"/>
  <c r="A108" i="10" s="1"/>
  <c r="I27" i="4"/>
  <c r="J43" i="3"/>
  <c r="K43" i="3" s="1"/>
  <c r="F44" i="3"/>
  <c r="G44" i="3" s="1"/>
  <c r="H169" i="13" l="1"/>
  <c r="I169" i="13" s="1"/>
  <c r="H171" i="13"/>
  <c r="I171" i="13" s="1"/>
  <c r="I169" i="12"/>
  <c r="H169" i="12"/>
  <c r="H166" i="12"/>
  <c r="H165" i="12"/>
  <c r="I165" i="12" s="1"/>
  <c r="I166" i="12" s="1"/>
  <c r="H167" i="12" s="1"/>
  <c r="I167" i="12" s="1"/>
  <c r="H67" i="10"/>
  <c r="I67" i="10" s="1"/>
  <c r="A133" i="10" a="1"/>
  <c r="A133" i="10" s="1"/>
  <c r="L31" i="4"/>
  <c r="H28" i="4"/>
  <c r="J44" i="3"/>
  <c r="K44" i="3" s="1"/>
  <c r="F45" i="3"/>
  <c r="G45" i="3" s="1"/>
  <c r="H175" i="13" l="1"/>
  <c r="I175" i="13" s="1"/>
  <c r="H172" i="13"/>
  <c r="I172" i="13" s="1"/>
  <c r="H173" i="13"/>
  <c r="I173" i="13" s="1"/>
  <c r="H170" i="12"/>
  <c r="I170" i="12" s="1"/>
  <c r="I171" i="12" s="1"/>
  <c r="H172" i="12" s="1"/>
  <c r="I172" i="12" s="1"/>
  <c r="H171" i="12"/>
  <c r="H173" i="12"/>
  <c r="I173" i="12" s="1"/>
  <c r="H174" i="12" s="1"/>
  <c r="I174" i="12" s="1"/>
  <c r="H175" i="12" s="1"/>
  <c r="H177" i="12"/>
  <c r="I177" i="12" s="1"/>
  <c r="H178" i="12" s="1"/>
  <c r="I178" i="12" s="1"/>
  <c r="I175" i="12"/>
  <c r="H176" i="12" s="1"/>
  <c r="I176" i="12" s="1"/>
  <c r="H68" i="10"/>
  <c r="I68" i="10" s="1"/>
  <c r="A31" i="10" a="1"/>
  <c r="A31" i="10" s="1"/>
  <c r="M31" i="4"/>
  <c r="L32" i="4" s="1"/>
  <c r="M32" i="4" s="1"/>
  <c r="I28" i="4"/>
  <c r="J45" i="3"/>
  <c r="K45" i="3" s="1"/>
  <c r="F46" i="3"/>
  <c r="G46" i="3" s="1"/>
  <c r="J46" i="3" s="1"/>
  <c r="K46" i="3" s="1"/>
  <c r="H174" i="13" l="1"/>
  <c r="I174" i="13" s="1"/>
  <c r="H176" i="13"/>
  <c r="I176" i="13" s="1"/>
  <c r="H181" i="12"/>
  <c r="I181" i="12" s="1"/>
  <c r="H179" i="12"/>
  <c r="I179" i="12" s="1"/>
  <c r="H180" i="12" s="1"/>
  <c r="I180" i="12" s="1"/>
  <c r="A32" i="10" a="1"/>
  <c r="A32" i="10" s="1"/>
  <c r="H69" i="10"/>
  <c r="I69" i="10" s="1"/>
  <c r="L33" i="4"/>
  <c r="M33" i="4" s="1"/>
  <c r="H29" i="4"/>
  <c r="H179" i="13" l="1"/>
  <c r="I179" i="13" s="1"/>
  <c r="H177" i="13"/>
  <c r="I177" i="13" s="1"/>
  <c r="H182" i="12"/>
  <c r="I182" i="12" s="1"/>
  <c r="H185" i="12" s="1"/>
  <c r="A109" i="10" a="1"/>
  <c r="A109" i="10" s="1"/>
  <c r="H70" i="10"/>
  <c r="I70" i="10" s="1"/>
  <c r="I29" i="4"/>
  <c r="H178" i="13" l="1"/>
  <c r="I178" i="13" s="1"/>
  <c r="H180" i="13"/>
  <c r="I180" i="13" s="1"/>
  <c r="H183" i="12"/>
  <c r="I183" i="12" s="1"/>
  <c r="A110" i="10" a="1"/>
  <c r="A110" i="10" s="1"/>
  <c r="H71" i="10"/>
  <c r="I71" i="10" s="1"/>
  <c r="H30" i="4"/>
  <c r="H183" i="13" l="1"/>
  <c r="I183" i="13" s="1"/>
  <c r="H181" i="13"/>
  <c r="I181" i="13" s="1"/>
  <c r="H184" i="12"/>
  <c r="I184" i="12" s="1"/>
  <c r="H72" i="10"/>
  <c r="I72" i="10" s="1"/>
  <c r="A134" i="10" a="1"/>
  <c r="A134" i="10" s="1"/>
  <c r="I30" i="4"/>
  <c r="H182" i="13" l="1"/>
  <c r="I182" i="13" s="1"/>
  <c r="H184" i="13"/>
  <c r="I184" i="13" s="1"/>
  <c r="I185" i="12"/>
  <c r="H73" i="10"/>
  <c r="I73" i="10" s="1"/>
  <c r="A33" i="10" a="1"/>
  <c r="A33" i="10" s="1"/>
  <c r="L34" i="4"/>
  <c r="H31" i="4"/>
  <c r="H187" i="13" l="1"/>
  <c r="I187" i="13" s="1"/>
  <c r="H188" i="13" s="1"/>
  <c r="I188" i="13" s="1"/>
  <c r="H185" i="13"/>
  <c r="I185" i="13" s="1"/>
  <c r="H186" i="12"/>
  <c r="I186" i="12" s="1"/>
  <c r="H74" i="10"/>
  <c r="I74" i="10" s="1"/>
  <c r="A34" i="10" a="1"/>
  <c r="A34" i="10" s="1"/>
  <c r="M34" i="4"/>
  <c r="L35" i="4" s="1"/>
  <c r="M35" i="4" s="1"/>
  <c r="I31" i="4"/>
  <c r="H186" i="13" l="1"/>
  <c r="I186" i="13" s="1"/>
  <c r="H189" i="13"/>
  <c r="I189" i="13" s="1"/>
  <c r="H192" i="13"/>
  <c r="I192" i="13" s="1"/>
  <c r="H193" i="13" s="1"/>
  <c r="I193" i="13" s="1"/>
  <c r="H190" i="13"/>
  <c r="I190" i="13" s="1"/>
  <c r="H191" i="13" s="1"/>
  <c r="I191" i="13" s="1"/>
  <c r="H190" i="12"/>
  <c r="H188" i="12"/>
  <c r="H187" i="12"/>
  <c r="I187" i="12" s="1"/>
  <c r="A151" i="10" a="1"/>
  <c r="A151" i="10" s="1"/>
  <c r="H75" i="10"/>
  <c r="I75" i="10" s="1"/>
  <c r="H32" i="4"/>
  <c r="H194" i="13" l="1"/>
  <c r="I194" i="13" s="1"/>
  <c r="H195" i="13"/>
  <c r="I195" i="13" s="1"/>
  <c r="H196" i="13" s="1"/>
  <c r="I196" i="13" s="1"/>
  <c r="H197" i="13"/>
  <c r="I197" i="13" s="1"/>
  <c r="H198" i="13" s="1"/>
  <c r="I198" i="13" s="1"/>
  <c r="I188" i="12"/>
  <c r="A152" i="10" a="1"/>
  <c r="A152" i="10" s="1"/>
  <c r="H76" i="10"/>
  <c r="I76" i="10" s="1"/>
  <c r="L36" i="4"/>
  <c r="M36" i="4" s="1"/>
  <c r="I32" i="4"/>
  <c r="H199" i="13" l="1"/>
  <c r="I199" i="13" s="1"/>
  <c r="H202" i="13"/>
  <c r="I202" i="13" s="1"/>
  <c r="H203" i="13" s="1"/>
  <c r="I203" i="13" s="1"/>
  <c r="H207" i="13" s="1"/>
  <c r="I207" i="13" s="1"/>
  <c r="H208" i="13" s="1"/>
  <c r="I208" i="13" s="1"/>
  <c r="H189" i="12"/>
  <c r="I189" i="12" s="1"/>
  <c r="A201" i="10" a="1"/>
  <c r="A201" i="10" s="1"/>
  <c r="H77" i="10"/>
  <c r="I77" i="10" s="1"/>
  <c r="H33" i="4"/>
  <c r="H210" i="13" l="1"/>
  <c r="I210" i="13" s="1"/>
  <c r="H211" i="13" s="1"/>
  <c r="I211" i="13" s="1"/>
  <c r="H209" i="13"/>
  <c r="I209" i="13" s="1"/>
  <c r="H212" i="13"/>
  <c r="I212" i="13" s="1"/>
  <c r="H213" i="13" s="1"/>
  <c r="I213" i="13" s="1"/>
  <c r="I190" i="12"/>
  <c r="A35" i="10" a="1"/>
  <c r="A35" i="10" s="1"/>
  <c r="H78" i="10"/>
  <c r="I78" i="10" s="1"/>
  <c r="L37" i="4"/>
  <c r="I33" i="4"/>
  <c r="H214" i="13" l="1"/>
  <c r="I214" i="13" s="1"/>
  <c r="H215" i="13"/>
  <c r="I215" i="13" s="1"/>
  <c r="H216" i="13" s="1"/>
  <c r="I216" i="13" s="1"/>
  <c r="H191" i="12"/>
  <c r="I191" i="12" s="1"/>
  <c r="A36" i="10" a="1"/>
  <c r="A36" i="10" s="1"/>
  <c r="H79" i="10"/>
  <c r="I79" i="10" s="1"/>
  <c r="M37" i="4"/>
  <c r="L38" i="4" s="1"/>
  <c r="M38" i="4" s="1"/>
  <c r="H34" i="4"/>
  <c r="H195" i="12" l="1"/>
  <c r="H193" i="12"/>
  <c r="H192" i="12"/>
  <c r="I192" i="12" s="1"/>
  <c r="A153" i="10" a="1"/>
  <c r="A153" i="10" s="1"/>
  <c r="H80" i="10"/>
  <c r="I80" i="10" s="1"/>
  <c r="I51" i="5"/>
  <c r="I34" i="4"/>
  <c r="I193" i="12" l="1"/>
  <c r="A154" i="10" a="1"/>
  <c r="A154" i="10" s="1"/>
  <c r="H81" i="10"/>
  <c r="I81" i="10" s="1"/>
  <c r="H52" i="5"/>
  <c r="I52" i="5" s="1"/>
  <c r="A51" i="5" a="1"/>
  <c r="A51" i="5" s="1"/>
  <c r="H35" i="4"/>
  <c r="H194" i="12" l="1"/>
  <c r="I194" i="12" s="1"/>
  <c r="A202" i="10" a="1"/>
  <c r="A202" i="10" s="1"/>
  <c r="H82" i="10"/>
  <c r="I82" i="10" s="1"/>
  <c r="A37" i="10" s="1" a="1"/>
  <c r="A37" i="10" s="1"/>
  <c r="A52" i="5" a="1"/>
  <c r="A52" i="5" s="1"/>
  <c r="H143" i="5"/>
  <c r="I143" i="5" s="1"/>
  <c r="I53" i="5"/>
  <c r="L39" i="4"/>
  <c r="M39" i="4" s="1"/>
  <c r="I35" i="4"/>
  <c r="I195" i="12" l="1"/>
  <c r="H83" i="10"/>
  <c r="I83" i="10" s="1"/>
  <c r="A38" i="10" s="1" a="1"/>
  <c r="A38" i="10" s="1"/>
  <c r="H144" i="5"/>
  <c r="I144" i="5" s="1"/>
  <c r="A143" i="5" a="1"/>
  <c r="A143" i="5" s="1"/>
  <c r="A53" i="5" a="1"/>
  <c r="A53" i="5" s="1"/>
  <c r="I54" i="5"/>
  <c r="H36" i="4"/>
  <c r="H196" i="12" l="1"/>
  <c r="I196" i="12" s="1"/>
  <c r="H200" i="12" s="1"/>
  <c r="H84" i="10"/>
  <c r="I84" i="10" s="1"/>
  <c r="A155" i="10" s="1" a="1"/>
  <c r="A155" i="10" s="1"/>
  <c r="A144" i="5" a="1"/>
  <c r="A144" i="5" s="1"/>
  <c r="H145" i="5"/>
  <c r="I145" i="5" s="1"/>
  <c r="A54" i="5" a="1"/>
  <c r="A54" i="5" s="1"/>
  <c r="H55" i="5"/>
  <c r="I55" i="5" s="1"/>
  <c r="L40" i="4"/>
  <c r="I36" i="4"/>
  <c r="H197" i="12" l="1"/>
  <c r="I197" i="12" s="1"/>
  <c r="A145" i="5" a="1"/>
  <c r="A145" i="5" s="1"/>
  <c r="H146" i="5"/>
  <c r="I146" i="5" s="1"/>
  <c r="A55" i="5" a="1"/>
  <c r="A55" i="5" s="1"/>
  <c r="H56" i="5"/>
  <c r="I56" i="5" s="1"/>
  <c r="M40" i="4"/>
  <c r="L41" i="4" s="1"/>
  <c r="M41" i="4" s="1"/>
  <c r="H37" i="4"/>
  <c r="I198" i="12" l="1"/>
  <c r="A146" i="5" a="1"/>
  <c r="A146" i="5" s="1"/>
  <c r="H147" i="5"/>
  <c r="I147" i="5" s="1"/>
  <c r="H57" i="5"/>
  <c r="I57" i="5" s="1"/>
  <c r="A56" i="5" a="1"/>
  <c r="A56" i="5" s="1"/>
  <c r="I37" i="4"/>
  <c r="H199" i="12" l="1"/>
  <c r="I199" i="12" s="1"/>
  <c r="H85" i="10"/>
  <c r="I85" i="10" s="1"/>
  <c r="A156" i="10" s="1" a="1"/>
  <c r="A156" i="10" s="1"/>
  <c r="A147" i="5" a="1"/>
  <c r="A147" i="5" s="1"/>
  <c r="H148" i="5"/>
  <c r="I148" i="5" s="1"/>
  <c r="A57" i="5" a="1"/>
  <c r="A57" i="5" s="1"/>
  <c r="H58" i="5"/>
  <c r="I58" i="5" s="1"/>
  <c r="H38" i="4"/>
  <c r="L42" i="4" s="1"/>
  <c r="M42" i="4" s="1"/>
  <c r="I200" i="12" l="1"/>
  <c r="H86" i="10"/>
  <c r="I86" i="10" s="1"/>
  <c r="A203" i="10" s="1" a="1"/>
  <c r="A203" i="10" s="1"/>
  <c r="A148" i="5" a="1"/>
  <c r="A148" i="5" s="1"/>
  <c r="H149" i="5"/>
  <c r="I149" i="5" s="1"/>
  <c r="A58" i="5" a="1"/>
  <c r="A58" i="5" s="1"/>
  <c r="H59" i="5"/>
  <c r="I59" i="5" s="1"/>
  <c r="I38" i="4"/>
  <c r="H201" i="12" l="1"/>
  <c r="I201" i="12" s="1"/>
  <c r="H205" i="12" s="1"/>
  <c r="H150" i="5"/>
  <c r="I150" i="5" s="1"/>
  <c r="A149" i="5" a="1"/>
  <c r="A149" i="5" s="1"/>
  <c r="A59" i="5" a="1"/>
  <c r="A59" i="5" s="1"/>
  <c r="H60" i="5"/>
  <c r="I60" i="5" s="1"/>
  <c r="H39" i="4"/>
  <c r="I202" i="12" l="1"/>
  <c r="A150" i="5" a="1"/>
  <c r="A150" i="5" s="1"/>
  <c r="H151" i="5"/>
  <c r="I151" i="5" s="1"/>
  <c r="H61" i="5"/>
  <c r="I61" i="5" s="1"/>
  <c r="A60" i="5" a="1"/>
  <c r="A60" i="5" s="1"/>
  <c r="I39" i="4"/>
  <c r="I203" i="12" l="1"/>
  <c r="A151" i="5" a="1"/>
  <c r="A151" i="5" s="1"/>
  <c r="H152" i="5"/>
  <c r="I152" i="5" s="1"/>
  <c r="H62" i="5"/>
  <c r="I62" i="5" s="1"/>
  <c r="A61" i="5" a="1"/>
  <c r="A61" i="5" s="1"/>
  <c r="H40" i="4"/>
  <c r="H204" i="12" l="1"/>
  <c r="I204" i="12" s="1"/>
  <c r="H87" i="10"/>
  <c r="I87" i="10" s="1"/>
  <c r="A39" i="10" s="1" a="1"/>
  <c r="A39" i="10" s="1"/>
  <c r="H153" i="5"/>
  <c r="I153" i="5" s="1"/>
  <c r="A152" i="5" a="1"/>
  <c r="A152" i="5" s="1"/>
  <c r="A62" i="5" a="1"/>
  <c r="A62" i="5" s="1"/>
  <c r="H63" i="5"/>
  <c r="I63" i="5" s="1"/>
  <c r="I40" i="4"/>
  <c r="I205" i="12" l="1"/>
  <c r="H88" i="10"/>
  <c r="I88" i="10" s="1"/>
  <c r="A40" i="10" s="1" a="1"/>
  <c r="A40" i="10" s="1"/>
  <c r="A153" i="5" a="1"/>
  <c r="A153" i="5" s="1"/>
  <c r="H154" i="5"/>
  <c r="I154" i="5" s="1"/>
  <c r="A63" i="5" a="1"/>
  <c r="A63" i="5" s="1"/>
  <c r="H64" i="5"/>
  <c r="I64" i="5" s="1"/>
  <c r="A64" i="5" s="1" a="1"/>
  <c r="A64" i="5" s="1"/>
  <c r="L43" i="4"/>
  <c r="H41" i="4"/>
  <c r="H206" i="12" l="1"/>
  <c r="I206" i="12" s="1"/>
  <c r="H65" i="5"/>
  <c r="I65" i="5" s="1"/>
  <c r="H66" i="5" s="1"/>
  <c r="I66" i="5" s="1"/>
  <c r="H67" i="5" s="1"/>
  <c r="H155" i="5"/>
  <c r="I155" i="5" s="1"/>
  <c r="A154" i="5" a="1"/>
  <c r="A154" i="5" s="1"/>
  <c r="M43" i="4"/>
  <c r="L44" i="4" s="1"/>
  <c r="M44" i="4" s="1"/>
  <c r="I41" i="4"/>
  <c r="H42" i="4" s="1"/>
  <c r="H210" i="12" l="1"/>
  <c r="H208" i="12"/>
  <c r="H207" i="12"/>
  <c r="I207" i="12" s="1"/>
  <c r="A155" i="5" a="1"/>
  <c r="A155" i="5" s="1"/>
  <c r="H156" i="5"/>
  <c r="I156" i="5" s="1"/>
  <c r="A65" i="5" a="1"/>
  <c r="A65" i="5" s="1"/>
  <c r="A66" i="5" a="1"/>
  <c r="A66" i="5" s="1"/>
  <c r="I67" i="5"/>
  <c r="L45" i="4"/>
  <c r="M45" i="4" s="1"/>
  <c r="I42" i="4"/>
  <c r="H43" i="4" s="1"/>
  <c r="I208" i="12" l="1"/>
  <c r="A156" i="5" a="1"/>
  <c r="A156" i="5" s="1"/>
  <c r="H157" i="5"/>
  <c r="I157" i="5" s="1"/>
  <c r="A67" i="5" a="1"/>
  <c r="A67" i="5" s="1"/>
  <c r="H68" i="5"/>
  <c r="I68" i="5" s="1"/>
  <c r="H69" i="5" s="1"/>
  <c r="I69" i="5" s="1"/>
  <c r="H70" i="5" s="1"/>
  <c r="I70" i="5" s="1"/>
  <c r="H71" i="5" s="1"/>
  <c r="I71" i="5" s="1"/>
  <c r="H72" i="5" s="1"/>
  <c r="I72" i="5" s="1"/>
  <c r="H108" i="5" s="1"/>
  <c r="I108" i="5" s="1"/>
  <c r="I43" i="4"/>
  <c r="H209" i="12" l="1"/>
  <c r="I209" i="12" s="1"/>
  <c r="H89" i="10"/>
  <c r="I89" i="10" s="1"/>
  <c r="A157" i="10" s="1" a="1"/>
  <c r="A157" i="10" s="1"/>
  <c r="A157" i="5" a="1"/>
  <c r="A157" i="5" s="1"/>
  <c r="H158" i="5"/>
  <c r="I158" i="5" s="1"/>
  <c r="A108" i="5" a="1"/>
  <c r="A108" i="5" s="1"/>
  <c r="H109" i="5"/>
  <c r="I109" i="5" s="1"/>
  <c r="A68" i="5" a="1"/>
  <c r="A68" i="5" s="1"/>
  <c r="I43" i="5"/>
  <c r="A43" i="5" s="1" a="1"/>
  <c r="A43" i="5" s="1"/>
  <c r="L46" i="4"/>
  <c r="H44" i="4"/>
  <c r="I210" i="12" l="1"/>
  <c r="H90" i="10"/>
  <c r="I90" i="10" s="1"/>
  <c r="A158" i="5" a="1"/>
  <c r="A158" i="5" s="1"/>
  <c r="H159" i="5"/>
  <c r="I159" i="5" s="1"/>
  <c r="A109" i="5" a="1"/>
  <c r="A109" i="5" s="1"/>
  <c r="H110" i="5"/>
  <c r="I110" i="5" s="1"/>
  <c r="A69" i="5" a="1"/>
  <c r="A69" i="5" s="1"/>
  <c r="H44" i="5"/>
  <c r="I44" i="5" s="1"/>
  <c r="A44" i="5" s="1" a="1"/>
  <c r="A44" i="5" s="1"/>
  <c r="M46" i="4"/>
  <c r="L47" i="4" s="1"/>
  <c r="M47" i="4" s="1"/>
  <c r="L48" i="4" s="1"/>
  <c r="M48" i="4" s="1"/>
  <c r="I44" i="4"/>
  <c r="H211" i="12" l="1"/>
  <c r="I211" i="12" s="1"/>
  <c r="H213" i="12" s="1"/>
  <c r="H91" i="10"/>
  <c r="I91" i="10" s="1"/>
  <c r="A158" i="10" a="1"/>
  <c r="A158" i="10" s="1"/>
  <c r="A159" i="5" a="1"/>
  <c r="A159" i="5" s="1"/>
  <c r="H160" i="5"/>
  <c r="I160" i="5" s="1"/>
  <c r="A110" i="5" a="1"/>
  <c r="A110" i="5" s="1"/>
  <c r="H111" i="5"/>
  <c r="I111" i="5" s="1"/>
  <c r="A70" i="5" a="1"/>
  <c r="A70" i="5" s="1"/>
  <c r="H45" i="5"/>
  <c r="I45" i="5" s="1"/>
  <c r="A45" i="5" s="1" a="1"/>
  <c r="A45" i="5" s="1"/>
  <c r="H45" i="4"/>
  <c r="H212" i="12" l="1"/>
  <c r="I212" i="12" s="1"/>
  <c r="H92" i="10"/>
  <c r="I92" i="10" s="1"/>
  <c r="A204" i="10" a="1"/>
  <c r="A204" i="10" s="1"/>
  <c r="A160" i="5" a="1"/>
  <c r="A160" i="5" s="1"/>
  <c r="H161" i="5"/>
  <c r="I161" i="5" s="1"/>
  <c r="A111" i="5" a="1"/>
  <c r="A111" i="5" s="1"/>
  <c r="H112" i="5"/>
  <c r="I112" i="5" s="1"/>
  <c r="A71" i="5" a="1"/>
  <c r="A71" i="5" s="1"/>
  <c r="A72" i="5" a="1"/>
  <c r="A72" i="5" s="1"/>
  <c r="H46" i="5"/>
  <c r="I46" i="5" s="1"/>
  <c r="I45" i="4"/>
  <c r="I213" i="12" l="1"/>
  <c r="H93" i="10"/>
  <c r="I93" i="10" s="1"/>
  <c r="A41" i="10" a="1"/>
  <c r="A41" i="10" s="1"/>
  <c r="A161" i="5" a="1"/>
  <c r="A161" i="5" s="1"/>
  <c r="H162" i="5"/>
  <c r="I162" i="5" s="1"/>
  <c r="A112" i="5" a="1"/>
  <c r="A112" i="5" s="1"/>
  <c r="H113" i="5"/>
  <c r="I113" i="5" s="1"/>
  <c r="A46" i="5" a="1"/>
  <c r="A46" i="5" s="1"/>
  <c r="H47" i="5"/>
  <c r="I47" i="5" s="1"/>
  <c r="H46" i="4"/>
  <c r="H214" i="12" l="1"/>
  <c r="A42" i="10" a="1"/>
  <c r="A42" i="10" s="1"/>
  <c r="A47" i="5" a="1"/>
  <c r="A47" i="5" s="1"/>
  <c r="H48" i="5"/>
  <c r="I48" i="5" s="1"/>
  <c r="A162" i="5" a="1"/>
  <c r="A162" i="5" s="1"/>
  <c r="H163" i="5"/>
  <c r="I163" i="5" s="1"/>
  <c r="A113" i="5" a="1"/>
  <c r="A113" i="5" s="1"/>
  <c r="H114" i="5"/>
  <c r="I114" i="5" s="1"/>
  <c r="I46" i="4"/>
  <c r="I214" i="12" l="1"/>
  <c r="G4" i="12"/>
  <c r="H111" i="10"/>
  <c r="I111" i="10" s="1"/>
  <c r="A163" i="5" a="1"/>
  <c r="A163" i="5" s="1"/>
  <c r="H164" i="5"/>
  <c r="I164" i="5" s="1"/>
  <c r="H49" i="5"/>
  <c r="I49" i="5" s="1"/>
  <c r="A48" i="5" a="1"/>
  <c r="A48" i="5" s="1"/>
  <c r="A114" i="5" a="1"/>
  <c r="A114" i="5" s="1"/>
  <c r="H115" i="5"/>
  <c r="I115" i="5" s="1"/>
  <c r="H47" i="4"/>
  <c r="G5" i="12" l="1"/>
  <c r="G3" i="12" s="1"/>
  <c r="H112" i="10"/>
  <c r="I112" i="10" s="1"/>
  <c r="A135" i="10" a="1"/>
  <c r="A135" i="10" s="1"/>
  <c r="H50" i="5"/>
  <c r="I50" i="5" s="1"/>
  <c r="A50" i="5" s="1" a="1"/>
  <c r="A50" i="5" s="1"/>
  <c r="A49" i="5" a="1"/>
  <c r="A49" i="5" s="1"/>
  <c r="A164" i="5" a="1"/>
  <c r="A164" i="5" s="1"/>
  <c r="H165" i="5"/>
  <c r="I165" i="5" s="1"/>
  <c r="A115" i="5" a="1"/>
  <c r="A115" i="5" s="1"/>
  <c r="H116" i="5"/>
  <c r="I116" i="5" s="1"/>
  <c r="I47" i="4"/>
  <c r="H113" i="10" l="1"/>
  <c r="I113" i="10" s="1"/>
  <c r="A49" i="10" a="1"/>
  <c r="A49" i="10" s="1"/>
  <c r="A165" i="5" a="1"/>
  <c r="A165" i="5" s="1"/>
  <c r="H166" i="5"/>
  <c r="I166" i="5" s="1"/>
  <c r="A116" i="5" a="1"/>
  <c r="A116" i="5" s="1"/>
  <c r="H117" i="5"/>
  <c r="I117" i="5" s="1"/>
  <c r="H48" i="4"/>
  <c r="H114" i="10" l="1"/>
  <c r="A50" i="10" a="1"/>
  <c r="A50" i="10" s="1"/>
  <c r="A166" i="5" a="1"/>
  <c r="A166" i="5" s="1"/>
  <c r="H167" i="5"/>
  <c r="I167" i="5" s="1"/>
  <c r="A117" i="5" a="1"/>
  <c r="A117" i="5" s="1"/>
  <c r="H118" i="5"/>
  <c r="I118" i="5" s="1"/>
  <c r="I10" i="5"/>
  <c r="I48" i="4"/>
  <c r="I114" i="10" l="1"/>
  <c r="A167" i="5" a="1"/>
  <c r="A167" i="5" s="1"/>
  <c r="H168" i="5"/>
  <c r="I168" i="5" s="1"/>
  <c r="A118" i="5" a="1"/>
  <c r="A118" i="5" s="1"/>
  <c r="H119" i="5"/>
  <c r="I119" i="5" s="1"/>
  <c r="H11" i="5"/>
  <c r="A113" i="10" l="1" a="1"/>
  <c r="A113" i="10" s="1"/>
  <c r="H115" i="10"/>
  <c r="A168" i="5" a="1"/>
  <c r="A168" i="5" s="1"/>
  <c r="H169" i="5"/>
  <c r="I169" i="5" s="1"/>
  <c r="A119" i="5" a="1"/>
  <c r="A119" i="5" s="1"/>
  <c r="H120" i="5"/>
  <c r="I120" i="5" s="1"/>
  <c r="I11" i="5"/>
  <c r="H12" i="5" s="1"/>
  <c r="I12" i="5" s="1"/>
  <c r="I115" i="10" l="1"/>
  <c r="A169" i="5" a="1"/>
  <c r="A169" i="5" s="1"/>
  <c r="H170" i="5"/>
  <c r="I170" i="5" s="1"/>
  <c r="A120" i="5" a="1"/>
  <c r="A120" i="5" s="1"/>
  <c r="H121" i="5"/>
  <c r="I121" i="5" s="1"/>
  <c r="H13" i="5"/>
  <c r="I13" i="5" s="1"/>
  <c r="A114" i="10" l="1" a="1"/>
  <c r="A114" i="10" s="1"/>
  <c r="H116" i="10"/>
  <c r="A192" i="10" a="1"/>
  <c r="A192" i="10" s="1"/>
  <c r="A170" i="5" a="1"/>
  <c r="A170" i="5" s="1"/>
  <c r="H171" i="5"/>
  <c r="I171" i="5" s="1"/>
  <c r="A121" i="5" a="1"/>
  <c r="A121" i="5" s="1"/>
  <c r="H122" i="5"/>
  <c r="I122" i="5" s="1"/>
  <c r="H14" i="5"/>
  <c r="I14" i="5" s="1"/>
  <c r="I116" i="10" l="1"/>
  <c r="H172" i="5"/>
  <c r="I172" i="5" s="1"/>
  <c r="A171" i="5" a="1"/>
  <c r="A171" i="5" s="1"/>
  <c r="H123" i="5"/>
  <c r="I123" i="5" s="1"/>
  <c r="A122" i="5" a="1"/>
  <c r="A122" i="5" s="1"/>
  <c r="H15" i="5"/>
  <c r="I15" i="5" s="1"/>
  <c r="A136" i="10" l="1" a="1"/>
  <c r="A136" i="10" s="1"/>
  <c r="H117" i="10"/>
  <c r="H173" i="5"/>
  <c r="I173" i="5" s="1"/>
  <c r="A172" i="5" a="1"/>
  <c r="A172" i="5" s="1"/>
  <c r="H124" i="5"/>
  <c r="I124" i="5" s="1"/>
  <c r="A123" i="5" a="1"/>
  <c r="A123" i="5" s="1"/>
  <c r="I117" i="10" l="1"/>
  <c r="H174" i="5"/>
  <c r="I174" i="5" s="1"/>
  <c r="A173" i="5" a="1"/>
  <c r="A173" i="5" s="1"/>
  <c r="H125" i="5"/>
  <c r="I125" i="5" s="1"/>
  <c r="A124" i="5" a="1"/>
  <c r="A124" i="5" s="1"/>
  <c r="A51" i="10" l="1" a="1"/>
  <c r="A51" i="10" s="1"/>
  <c r="H118" i="10"/>
  <c r="H175" i="5"/>
  <c r="I175" i="5" s="1"/>
  <c r="A174" i="5" a="1"/>
  <c r="A174" i="5" s="1"/>
  <c r="H126" i="5"/>
  <c r="I126" i="5" s="1"/>
  <c r="A125" i="5" a="1"/>
  <c r="A125" i="5" s="1"/>
  <c r="I118" i="10" l="1"/>
  <c r="H176" i="5"/>
  <c r="I176" i="5" s="1"/>
  <c r="A176" i="5" s="1" a="1"/>
  <c r="A176" i="5" s="1"/>
  <c r="A175" i="5" a="1"/>
  <c r="A175" i="5" s="1"/>
  <c r="H127" i="5"/>
  <c r="I127" i="5" s="1"/>
  <c r="A126" i="5" a="1"/>
  <c r="A126" i="5" s="1"/>
  <c r="A52" i="10" l="1" a="1"/>
  <c r="A52" i="10" s="1"/>
  <c r="H119" i="10"/>
  <c r="I119" i="10" s="1"/>
  <c r="H128" i="5"/>
  <c r="I128" i="5" s="1"/>
  <c r="A127" i="5" a="1"/>
  <c r="A127" i="5" s="1"/>
  <c r="A115" i="10" l="1" a="1"/>
  <c r="A115" i="10" s="1"/>
  <c r="H120" i="10"/>
  <c r="I120" i="10" s="1"/>
  <c r="A128" i="5" a="1"/>
  <c r="A128" i="5" s="1"/>
  <c r="H129" i="5"/>
  <c r="I129" i="5" s="1"/>
  <c r="A116" i="10" l="1" a="1"/>
  <c r="A116" i="10" s="1"/>
  <c r="H121" i="10"/>
  <c r="I121" i="10" s="1"/>
  <c r="A129" i="5" a="1"/>
  <c r="A129" i="5" s="1"/>
  <c r="H130" i="5"/>
  <c r="I130" i="5" s="1"/>
  <c r="A137" i="10" l="1" a="1"/>
  <c r="A137" i="10" s="1"/>
  <c r="H122" i="10"/>
  <c r="I122" i="10" s="1"/>
  <c r="A130" i="5" a="1"/>
  <c r="A130" i="5" s="1"/>
  <c r="H131" i="5"/>
  <c r="I131" i="5" s="1"/>
  <c r="A53" i="10" l="1" a="1"/>
  <c r="A53" i="10" s="1"/>
  <c r="H123" i="10"/>
  <c r="I123" i="10" s="1"/>
  <c r="A131" i="5" a="1"/>
  <c r="A131" i="5" s="1"/>
  <c r="H132" i="5"/>
  <c r="I132" i="5" s="1"/>
  <c r="H133" i="5" s="1"/>
  <c r="I133" i="5" s="1"/>
  <c r="A54" i="10" l="1" a="1"/>
  <c r="A54" i="10" s="1"/>
  <c r="H124" i="10"/>
  <c r="I124" i="10" s="1"/>
  <c r="H134" i="5"/>
  <c r="I134" i="5" s="1"/>
  <c r="A133" i="5" a="1"/>
  <c r="A133" i="5" s="1"/>
  <c r="A132" i="5" a="1"/>
  <c r="A132" i="5" s="1"/>
  <c r="A117" i="10" l="1" a="1"/>
  <c r="A117" i="10" s="1"/>
  <c r="H125" i="10"/>
  <c r="I125" i="10" s="1"/>
  <c r="H135" i="5"/>
  <c r="I135" i="5" s="1"/>
  <c r="A134" i="5" a="1"/>
  <c r="A134" i="5" s="1"/>
  <c r="A118" i="10" l="1" a="1"/>
  <c r="A118" i="10" s="1"/>
  <c r="H126" i="10"/>
  <c r="I126" i="10" s="1"/>
  <c r="H136" i="5"/>
  <c r="I136" i="5" s="1"/>
  <c r="A135" i="5" a="1"/>
  <c r="A135" i="5" s="1"/>
  <c r="A138" i="10" l="1" a="1"/>
  <c r="A138" i="10" s="1"/>
  <c r="H127" i="10"/>
  <c r="I127" i="10" s="1"/>
  <c r="H137" i="5"/>
  <c r="I137" i="5" s="1"/>
  <c r="A136" i="5" a="1"/>
  <c r="A136" i="5" s="1"/>
  <c r="G5" i="10" l="1"/>
  <c r="A55" i="10" a="1"/>
  <c r="A55" i="10" s="1"/>
  <c r="H128" i="10"/>
  <c r="I128" i="10" s="1"/>
  <c r="H138" i="5"/>
  <c r="I138" i="5" s="1"/>
  <c r="A137" i="5" a="1"/>
  <c r="A137" i="5" s="1"/>
  <c r="A56" i="10" l="1" a="1"/>
  <c r="A56" i="10" s="1"/>
  <c r="H129" i="10"/>
  <c r="I129" i="10" s="1"/>
  <c r="H139" i="5"/>
  <c r="I139" i="5" s="1"/>
  <c r="A138" i="5" a="1"/>
  <c r="A138" i="5" s="1"/>
  <c r="A119" i="10" l="1" a="1"/>
  <c r="A119" i="10" s="1"/>
  <c r="H130" i="10"/>
  <c r="I130" i="10" s="1"/>
  <c r="H140" i="5"/>
  <c r="I140" i="5" s="1"/>
  <c r="A139" i="5" a="1"/>
  <c r="A139" i="5" s="1"/>
  <c r="A120" i="10" l="1" a="1"/>
  <c r="A120" i="10" s="1"/>
  <c r="H131" i="10"/>
  <c r="I131" i="10" s="1"/>
  <c r="H141" i="5"/>
  <c r="I141" i="5" s="1"/>
  <c r="A140" i="5" a="1"/>
  <c r="A140" i="5" s="1"/>
  <c r="A139" i="10" l="1" a="1"/>
  <c r="A139" i="10" s="1"/>
  <c r="H132" i="10"/>
  <c r="I132" i="10" s="1"/>
  <c r="H142" i="5"/>
  <c r="I142" i="5" s="1"/>
  <c r="A141" i="5" a="1"/>
  <c r="A141" i="5" s="1"/>
  <c r="A57" i="10" l="1" a="1"/>
  <c r="A57" i="10" s="1"/>
  <c r="H133" i="10"/>
  <c r="I133" i="10" s="1"/>
  <c r="A142" i="5" a="1"/>
  <c r="A142" i="5" s="1"/>
  <c r="H177" i="5"/>
  <c r="I177" i="5" s="1"/>
  <c r="A58" i="10" l="1" a="1"/>
  <c r="A58" i="10" s="1"/>
  <c r="H134" i="10"/>
  <c r="I134" i="10" s="1"/>
  <c r="H178" i="5"/>
  <c r="I178" i="5" s="1"/>
  <c r="A177" i="5" a="1"/>
  <c r="A177" i="5" s="1"/>
  <c r="H135" i="10" l="1"/>
  <c r="I135" i="10" s="1"/>
  <c r="A121" i="10" a="1"/>
  <c r="A121" i="10" s="1"/>
  <c r="H179" i="5"/>
  <c r="I179" i="5" s="1"/>
  <c r="A178" i="5" a="1"/>
  <c r="A178" i="5" s="1"/>
  <c r="H136" i="10" l="1"/>
  <c r="I136" i="10" s="1"/>
  <c r="A122" i="10" a="1"/>
  <c r="A122" i="10" s="1"/>
  <c r="H180" i="5"/>
  <c r="I180" i="5" s="1"/>
  <c r="A179" i="5" a="1"/>
  <c r="A179" i="5" s="1"/>
  <c r="H137" i="10" l="1"/>
  <c r="I137" i="10" s="1"/>
  <c r="A140" i="10" a="1"/>
  <c r="A140" i="10" s="1"/>
  <c r="H181" i="5"/>
  <c r="I181" i="5" s="1"/>
  <c r="A180" i="5" a="1"/>
  <c r="A180" i="5" s="1"/>
  <c r="H138" i="10" l="1"/>
  <c r="I138" i="10" s="1"/>
  <c r="A59" i="10" a="1"/>
  <c r="A59" i="10" s="1"/>
  <c r="H182" i="5"/>
  <c r="I182" i="5" s="1"/>
  <c r="A181" i="5" a="1"/>
  <c r="A181" i="5" s="1"/>
  <c r="H139" i="10" l="1"/>
  <c r="I139" i="10" s="1"/>
  <c r="A60" i="10" a="1"/>
  <c r="A60" i="10" s="1"/>
  <c r="H183" i="5"/>
  <c r="A182" i="5" a="1"/>
  <c r="A182" i="5" s="1"/>
  <c r="H140" i="10" l="1"/>
  <c r="I140" i="10" s="1"/>
  <c r="A123" i="10" a="1"/>
  <c r="A123" i="10" s="1"/>
  <c r="I183" i="5"/>
  <c r="A183" i="5" s="1" a="1"/>
  <c r="A183" i="5" s="1"/>
  <c r="A124" i="10" l="1" a="1"/>
  <c r="A124" i="10" s="1"/>
  <c r="H141" i="10"/>
  <c r="I141" i="10" s="1"/>
  <c r="H184" i="5"/>
  <c r="I184" i="5" s="1"/>
  <c r="A184" i="5" s="1" a="1"/>
  <c r="A184" i="5" s="1"/>
  <c r="A141" i="10" l="1" a="1"/>
  <c r="A141" i="10" s="1"/>
  <c r="H142" i="10"/>
  <c r="I142" i="10" s="1"/>
  <c r="H185" i="5"/>
  <c r="I185" i="5" s="1"/>
  <c r="H143" i="10" l="1"/>
  <c r="I143" i="10" s="1"/>
  <c r="A61" i="10" a="1"/>
  <c r="A61" i="10" s="1"/>
  <c r="H186" i="5"/>
  <c r="I186" i="5" s="1"/>
  <c r="A185" i="5" a="1"/>
  <c r="A185" i="5" s="1"/>
  <c r="I144" i="10" l="1"/>
  <c r="A62" i="10" a="1"/>
  <c r="A62" i="10" s="1"/>
  <c r="H187" i="5"/>
  <c r="I187" i="5" s="1"/>
  <c r="A186" i="5" a="1"/>
  <c r="A186" i="5" s="1"/>
  <c r="H145" i="10" l="1"/>
  <c r="I145" i="10" s="1"/>
  <c r="H146" i="10" s="1"/>
  <c r="I146" i="10" s="1"/>
  <c r="A178" i="10" a="1"/>
  <c r="A178" i="10" s="1"/>
  <c r="H188" i="5"/>
  <c r="I188" i="5" s="1"/>
  <c r="A187" i="5" a="1"/>
  <c r="A187" i="5" s="1"/>
  <c r="H147" i="10" l="1"/>
  <c r="I147" i="10" s="1"/>
  <c r="A179" i="10" a="1"/>
  <c r="A179" i="10" s="1"/>
  <c r="H189" i="5"/>
  <c r="I189" i="5" s="1"/>
  <c r="A188" i="5" a="1"/>
  <c r="A188" i="5" s="1"/>
  <c r="H148" i="10" l="1"/>
  <c r="I148" i="10" s="1"/>
  <c r="A193" i="10" a="1"/>
  <c r="A193" i="10" s="1"/>
  <c r="H190" i="5"/>
  <c r="I190" i="5" s="1"/>
  <c r="A189" i="5" a="1"/>
  <c r="A189" i="5" s="1"/>
  <c r="H149" i="10" l="1"/>
  <c r="I149" i="10" s="1"/>
  <c r="A63" i="10" a="1"/>
  <c r="A63" i="10" s="1"/>
  <c r="H191" i="5"/>
  <c r="I191" i="5" s="1"/>
  <c r="A190" i="5" a="1"/>
  <c r="A190" i="5" s="1"/>
  <c r="A64" i="10" l="1" a="1"/>
  <c r="A64" i="10" s="1"/>
  <c r="H192" i="5"/>
  <c r="I192" i="5" s="1"/>
  <c r="A191" i="5" a="1"/>
  <c r="A191" i="5" s="1"/>
  <c r="A180" i="10" l="1" a="1"/>
  <c r="A180" i="10" s="1"/>
  <c r="H150" i="10"/>
  <c r="I150" i="10" s="1"/>
  <c r="G4" i="10"/>
  <c r="G3" i="10" s="1"/>
  <c r="H193" i="5"/>
  <c r="I193" i="5" s="1"/>
  <c r="A192" i="5" a="1"/>
  <c r="A192" i="5" s="1"/>
  <c r="H151" i="10" l="1"/>
  <c r="I151" i="10" s="1"/>
  <c r="A181" i="10" a="1"/>
  <c r="A181" i="10" s="1"/>
  <c r="H194" i="5"/>
  <c r="I194" i="5" s="1"/>
  <c r="A193" i="5" a="1"/>
  <c r="A193" i="5" s="1"/>
  <c r="H152" i="10" l="1"/>
  <c r="I152" i="10" s="1"/>
  <c r="A194" i="10" a="1"/>
  <c r="A194" i="10" s="1"/>
  <c r="H195" i="5"/>
  <c r="I195" i="5" s="1"/>
  <c r="A194" i="5" a="1"/>
  <c r="A194" i="5" s="1"/>
  <c r="H153" i="10" l="1"/>
  <c r="I153" i="10" s="1"/>
  <c r="A65" i="10" a="1"/>
  <c r="A65" i="10" s="1"/>
  <c r="H196" i="5"/>
  <c r="I196" i="5" s="1"/>
  <c r="A195" i="5" a="1"/>
  <c r="A195" i="5" s="1"/>
  <c r="H154" i="10" l="1"/>
  <c r="I154" i="10" s="1"/>
  <c r="A66" i="10" a="1"/>
  <c r="A66" i="10" s="1"/>
  <c r="H197" i="5"/>
  <c r="I197" i="5" s="1"/>
  <c r="A196" i="5" a="1"/>
  <c r="A196" i="5" s="1"/>
  <c r="H155" i="10" l="1"/>
  <c r="I155" i="10" s="1"/>
  <c r="A182" i="10" a="1"/>
  <c r="A182" i="10" s="1"/>
  <c r="H198" i="5"/>
  <c r="A197" i="5" a="1"/>
  <c r="A197" i="5" s="1"/>
  <c r="H156" i="10" l="1"/>
  <c r="I156" i="10" s="1"/>
  <c r="A183" i="10" a="1"/>
  <c r="A183" i="10" s="1"/>
  <c r="I198" i="5"/>
  <c r="H157" i="10" l="1"/>
  <c r="I157" i="10" s="1"/>
  <c r="A195" i="10" a="1"/>
  <c r="A195" i="10" s="1"/>
  <c r="H199" i="5"/>
  <c r="A198" i="5" a="1"/>
  <c r="A198" i="5" s="1"/>
  <c r="H158" i="10" l="1"/>
  <c r="I158" i="10" s="1"/>
  <c r="A67" i="10" a="1"/>
  <c r="A67" i="10" s="1"/>
  <c r="I199" i="5"/>
  <c r="H159" i="10" l="1"/>
  <c r="I159" i="10" s="1"/>
  <c r="A68" i="10" a="1"/>
  <c r="A68" i="10" s="1"/>
  <c r="H200" i="5"/>
  <c r="A199" i="5" a="1"/>
  <c r="A199" i="5" s="1"/>
  <c r="H160" i="10" l="1"/>
  <c r="I160" i="10" s="1"/>
  <c r="A184" i="10" a="1"/>
  <c r="A184" i="10" s="1"/>
  <c r="I200" i="5"/>
  <c r="A185" i="10" l="1" a="1"/>
  <c r="A185" i="10" s="1"/>
  <c r="H161" i="10"/>
  <c r="I161" i="10" s="1"/>
  <c r="H201" i="5"/>
  <c r="A200" i="5" a="1"/>
  <c r="A200" i="5" s="1"/>
  <c r="A196" i="10" l="1" a="1"/>
  <c r="A196" i="10" s="1"/>
  <c r="H162" i="10"/>
  <c r="I162" i="10" s="1"/>
  <c r="I201" i="5"/>
  <c r="A69" i="10" l="1" a="1"/>
  <c r="A69" i="10" s="1"/>
  <c r="H163" i="10"/>
  <c r="I163" i="10" s="1"/>
  <c r="H202" i="5"/>
  <c r="A201" i="5" a="1"/>
  <c r="A201" i="5" s="1"/>
  <c r="A70" i="10" l="1" a="1"/>
  <c r="A70" i="10" s="1"/>
  <c r="H164" i="10"/>
  <c r="I164" i="10" s="1"/>
  <c r="I202" i="5"/>
  <c r="A186" i="10" l="1" a="1"/>
  <c r="A186" i="10" s="1"/>
  <c r="H165" i="10"/>
  <c r="I165" i="10" s="1"/>
  <c r="H203" i="5"/>
  <c r="I203" i="5" s="1"/>
  <c r="A202" i="5" a="1"/>
  <c r="A202" i="5" s="1"/>
  <c r="A187" i="10" l="1" a="1"/>
  <c r="A187" i="10" s="1"/>
  <c r="H166" i="10"/>
  <c r="I166" i="10" s="1"/>
  <c r="H204" i="5"/>
  <c r="I204" i="5" s="1"/>
  <c r="A203" i="5" a="1"/>
  <c r="A203" i="5" s="1"/>
  <c r="A197" i="10" l="1" a="1"/>
  <c r="A197" i="10" s="1"/>
  <c r="H167" i="10"/>
  <c r="I167" i="10" s="1"/>
  <c r="H205" i="5"/>
  <c r="I205" i="5" s="1"/>
  <c r="A204" i="5" a="1"/>
  <c r="A204" i="5" s="1"/>
  <c r="A71" i="10" l="1" a="1"/>
  <c r="A71" i="10" s="1"/>
  <c r="H168" i="10"/>
  <c r="I168" i="10" s="1"/>
  <c r="H206" i="5"/>
  <c r="I206" i="5" s="1"/>
  <c r="A205" i="5" a="1"/>
  <c r="A205" i="5" s="1"/>
  <c r="A72" i="10" l="1" a="1"/>
  <c r="A72" i="10" s="1"/>
  <c r="H169" i="10"/>
  <c r="I169" i="10" s="1"/>
  <c r="H207" i="5"/>
  <c r="I207" i="5" s="1"/>
  <c r="A206" i="5" a="1"/>
  <c r="A206" i="5" s="1"/>
  <c r="A188" i="10" l="1" a="1"/>
  <c r="A188" i="10" s="1"/>
  <c r="H170" i="10"/>
  <c r="I170" i="10" s="1"/>
  <c r="H208" i="5"/>
  <c r="I208" i="5" s="1"/>
  <c r="A207" i="5" a="1"/>
  <c r="A207" i="5" s="1"/>
  <c r="A189" i="10" l="1" a="1"/>
  <c r="A189" i="10" s="1"/>
  <c r="H171" i="10"/>
  <c r="I171" i="10" s="1"/>
  <c r="H209" i="5"/>
  <c r="I209" i="5" s="1"/>
  <c r="A208" i="5" a="1"/>
  <c r="A208" i="5" s="1"/>
  <c r="A198" i="10" l="1" a="1"/>
  <c r="A198" i="10" s="1"/>
  <c r="H172" i="10"/>
  <c r="I172" i="10" s="1"/>
  <c r="H210" i="5"/>
  <c r="I210" i="5" s="1"/>
  <c r="A209" i="5" a="1"/>
  <c r="A209" i="5" s="1"/>
  <c r="A73" i="10" l="1" a="1"/>
  <c r="A73" i="10" s="1"/>
  <c r="H173" i="10"/>
  <c r="I173" i="10" s="1"/>
  <c r="H211" i="5"/>
  <c r="I211" i="5" s="1"/>
  <c r="A210" i="5" a="1"/>
  <c r="A210" i="5" s="1"/>
  <c r="H174" i="10" l="1"/>
  <c r="I174" i="10" s="1"/>
  <c r="A74" i="10" a="1"/>
  <c r="A74" i="10" s="1"/>
  <c r="H212" i="5"/>
  <c r="I212" i="5" s="1"/>
  <c r="A211" i="5" a="1"/>
  <c r="A211" i="5" s="1"/>
  <c r="H175" i="10" l="1"/>
  <c r="I175" i="10" s="1"/>
  <c r="A190" i="10" a="1"/>
  <c r="A190" i="10" s="1"/>
  <c r="H213" i="5"/>
  <c r="I213" i="5" s="1"/>
  <c r="A212" i="5" a="1"/>
  <c r="A212" i="5" s="1"/>
  <c r="H176" i="10" l="1"/>
  <c r="I176" i="10" s="1"/>
  <c r="A199" i="10" a="1"/>
  <c r="A199" i="10" s="1"/>
  <c r="H214" i="5"/>
  <c r="A213" i="5" a="1"/>
  <c r="A213" i="5" s="1"/>
  <c r="H177" i="10" l="1"/>
  <c r="I177" i="10" s="1"/>
  <c r="A75" i="10" a="1"/>
  <c r="A75" i="10" s="1"/>
  <c r="I214" i="5"/>
  <c r="G4" i="5"/>
  <c r="H178" i="10" l="1"/>
  <c r="I178" i="10" s="1"/>
  <c r="A76" i="10" a="1"/>
  <c r="A76" i="10" s="1"/>
  <c r="A214" i="5" a="1"/>
  <c r="A214" i="5" s="1"/>
  <c r="G5" i="5"/>
  <c r="G3" i="5" s="1"/>
  <c r="H179" i="10" l="1"/>
  <c r="I179" i="10" s="1"/>
  <c r="A125" i="10" a="1"/>
  <c r="A125" i="10" s="1"/>
  <c r="H180" i="10" l="1"/>
  <c r="I180" i="10" s="1"/>
  <c r="A142" i="10" a="1"/>
  <c r="A142" i="10" s="1"/>
  <c r="H181" i="10" l="1"/>
  <c r="I181" i="10" s="1"/>
  <c r="A77" i="10" a="1"/>
  <c r="A77" i="10" s="1"/>
  <c r="H182" i="10" l="1"/>
  <c r="I182" i="10" s="1"/>
  <c r="A78" i="10" a="1"/>
  <c r="A78" i="10" s="1"/>
  <c r="H183" i="10" l="1"/>
  <c r="I183" i="10" s="1"/>
  <c r="A126" i="10" a="1"/>
  <c r="A126" i="10" s="1"/>
  <c r="H184" i="10" l="1"/>
  <c r="I184" i="10" s="1"/>
  <c r="A143" i="10" a="1"/>
  <c r="A143" i="10" s="1"/>
  <c r="H185" i="10" l="1"/>
  <c r="I185" i="10" s="1"/>
  <c r="A79" i="10" a="1"/>
  <c r="A79" i="10" s="1"/>
  <c r="H186" i="10" l="1"/>
  <c r="I186" i="10" s="1"/>
  <c r="A80" i="10" a="1"/>
  <c r="A80" i="10" s="1"/>
  <c r="H187" i="10" l="1"/>
  <c r="I187" i="10" s="1"/>
  <c r="A161" i="10" a="1"/>
  <c r="A161" i="10" s="1"/>
  <c r="H188" i="10" l="1"/>
  <c r="I188" i="10" s="1"/>
  <c r="A162" i="10" a="1"/>
  <c r="A162" i="10" s="1"/>
  <c r="H189" i="10" l="1"/>
  <c r="I189" i="10" s="1"/>
  <c r="A208" i="10" a="1"/>
  <c r="A208" i="10" s="1"/>
  <c r="H190" i="10" l="1"/>
  <c r="I190" i="10" s="1"/>
  <c r="A81" i="10" a="1"/>
  <c r="A81" i="10" s="1"/>
  <c r="A82" i="10" l="1" a="1"/>
  <c r="A82" i="10" s="1"/>
  <c r="I191" i="10"/>
  <c r="A163" i="10" l="1" a="1"/>
  <c r="A163" i="10" s="1"/>
  <c r="H192" i="10"/>
  <c r="I192" i="10" s="1"/>
  <c r="H193" i="10" s="1"/>
  <c r="I193" i="10" s="1"/>
  <c r="A164" i="10" l="1" a="1"/>
  <c r="A164" i="10" s="1"/>
  <c r="H194" i="10"/>
  <c r="I194" i="10" s="1"/>
  <c r="H195" i="10" l="1"/>
  <c r="I195" i="10" s="1"/>
  <c r="A209" i="10" a="1"/>
  <c r="A209" i="10" s="1"/>
  <c r="H196" i="10" l="1"/>
  <c r="I196" i="10" s="1"/>
  <c r="A83" i="10" a="1"/>
  <c r="A83" i="10" s="1"/>
  <c r="H197" i="10" l="1"/>
  <c r="I197" i="10" s="1"/>
  <c r="A84" i="10" a="1"/>
  <c r="A84" i="10" s="1"/>
  <c r="H198" i="10" l="1"/>
  <c r="I198" i="10" s="1"/>
  <c r="A165" i="10" a="1"/>
  <c r="A165" i="10" s="1"/>
  <c r="H199" i="10" l="1"/>
  <c r="I199" i="10" s="1"/>
  <c r="A166" i="10" a="1"/>
  <c r="A166" i="10" s="1"/>
  <c r="H200" i="10" l="1"/>
  <c r="I200" i="10" s="1"/>
  <c r="A210" i="10" a="1"/>
  <c r="A210" i="10" s="1"/>
  <c r="A85" i="10" l="1" a="1"/>
  <c r="A85" i="10" s="1"/>
  <c r="A86" i="10" l="1" a="1"/>
  <c r="A86" i="10" s="1"/>
  <c r="H201" i="10"/>
  <c r="I201" i="10" s="1"/>
  <c r="H202" i="10" l="1"/>
  <c r="I202" i="10" s="1"/>
  <c r="A167" i="10" a="1"/>
  <c r="A167" i="10" s="1"/>
  <c r="H203" i="10" l="1"/>
  <c r="I203" i="10" s="1"/>
  <c r="A168" i="10" a="1"/>
  <c r="A168" i="10" s="1"/>
  <c r="H204" i="10" l="1"/>
  <c r="I204" i="10" s="1"/>
  <c r="A211" i="10" a="1"/>
  <c r="A211" i="10" s="1"/>
  <c r="H205" i="10" l="1"/>
  <c r="I205" i="10" s="1"/>
  <c r="A87" i="10" a="1"/>
  <c r="A87" i="10" s="1"/>
  <c r="H206" i="10" l="1"/>
  <c r="I206" i="10" s="1"/>
  <c r="A88" i="10" a="1"/>
  <c r="A88" i="10" s="1"/>
  <c r="H207" i="10" l="1"/>
  <c r="I207" i="10" s="1"/>
  <c r="A169" i="10" a="1"/>
  <c r="A169" i="10" s="1"/>
  <c r="H208" i="10" l="1"/>
  <c r="I208" i="10" s="1"/>
  <c r="A170" i="10" a="1"/>
  <c r="A170" i="10" s="1"/>
  <c r="H209" i="10" l="1"/>
  <c r="I209" i="10" s="1"/>
  <c r="A212" i="10" a="1"/>
  <c r="A212" i="10" s="1"/>
  <c r="H210" i="10" l="1"/>
  <c r="I210" i="10" s="1"/>
  <c r="A89" i="10" a="1"/>
  <c r="A89" i="10" s="1"/>
  <c r="H211" i="10" l="1"/>
  <c r="I211" i="10" s="1"/>
  <c r="A90" i="10" a="1"/>
  <c r="A90" i="10" s="1"/>
  <c r="H212" i="10" l="1"/>
  <c r="I212" i="10" s="1"/>
  <c r="A171" i="10" a="1"/>
  <c r="A171" i="10" s="1"/>
  <c r="H213" i="10" l="1"/>
  <c r="I213" i="10" s="1"/>
  <c r="A213" i="10" s="1" a="1"/>
  <c r="A213" i="10" s="1"/>
  <c r="A172" i="10" a="1"/>
  <c r="A172" i="10" s="1"/>
  <c r="I209" i="14"/>
  <c r="G4" i="13"/>
  <c r="I219" i="13"/>
  <c r="G5" i="13"/>
  <c r="G3" i="13" s="1"/>
  <c r="G4" i="14"/>
  <c r="G3" i="14"/>
  <c r="H189" i="14"/>
  <c r="I189" i="14"/>
  <c r="G5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<sst xmlns="http://schemas.openxmlformats.org/spreadsheetml/2006/main" count="10753" uniqueCount="436">
  <si>
    <t>Resources Plan</t>
    <phoneticPr fontId="1" type="noConversion"/>
  </si>
  <si>
    <t>Resurce Count</t>
    <phoneticPr fontId="1" type="noConversion"/>
  </si>
  <si>
    <t>Man Day</t>
    <phoneticPr fontId="1" type="noConversion"/>
  </si>
  <si>
    <t>Hiring Period</t>
    <phoneticPr fontId="1" type="noConversion"/>
  </si>
  <si>
    <t>Cost</t>
    <phoneticPr fontId="1" type="noConversion"/>
  </si>
  <si>
    <t>DMS Development</t>
  </si>
  <si>
    <t>TOTAL TASKS</t>
  </si>
  <si>
    <t>DURATION</t>
  </si>
  <si>
    <t>Overall
Progress</t>
  </si>
  <si>
    <t>Completed</t>
  </si>
  <si>
    <t>START</t>
  </si>
  <si>
    <t>Team Member</t>
  </si>
  <si>
    <t>FTE</t>
  </si>
  <si>
    <t>Cost / Monthly</t>
  </si>
  <si>
    <t>Difficulty Level</t>
  </si>
  <si>
    <t>MD</t>
    <phoneticPr fontId="1" type="noConversion"/>
  </si>
  <si>
    <t>In progress</t>
  </si>
  <si>
    <t>FINISH</t>
  </si>
  <si>
    <t>Kent</t>
  </si>
  <si>
    <t>1 year</t>
  </si>
  <si>
    <t>Low</t>
    <phoneticPr fontId="1" type="noConversion"/>
  </si>
  <si>
    <t>1-2</t>
    <phoneticPr fontId="1" type="noConversion"/>
  </si>
  <si>
    <t>Not Started</t>
  </si>
  <si>
    <t>BA/Testing</t>
    <phoneticPr fontId="1" type="noConversion"/>
  </si>
  <si>
    <t>Mid</t>
    <phoneticPr fontId="1" type="noConversion"/>
  </si>
  <si>
    <t>3-5</t>
    <phoneticPr fontId="1" type="noConversion"/>
  </si>
  <si>
    <t xml:space="preserve">New SA and Engineer training </t>
  </si>
  <si>
    <t>1/5/2026 - 1/9/2026</t>
  </si>
  <si>
    <t>AP Lead</t>
  </si>
  <si>
    <t>Onboard after Chinese New Year</t>
    <phoneticPr fontId="1" type="noConversion"/>
  </si>
  <si>
    <t>High</t>
    <phoneticPr fontId="1" type="noConversion"/>
  </si>
  <si>
    <t>6-8</t>
    <phoneticPr fontId="1" type="noConversion"/>
  </si>
  <si>
    <t>FrontEnd1</t>
    <phoneticPr fontId="1" type="noConversion"/>
  </si>
  <si>
    <t>Patrick-BA</t>
    <phoneticPr fontId="1" type="noConversion"/>
  </si>
  <si>
    <t>SPRINT</t>
    <phoneticPr fontId="1" type="noConversion"/>
  </si>
  <si>
    <t>EPIC</t>
  </si>
  <si>
    <t>FEATURE</t>
  </si>
  <si>
    <t>TASKS</t>
  </si>
  <si>
    <t>STORIES</t>
  </si>
  <si>
    <t>Difficulty Level</t>
    <phoneticPr fontId="1" type="noConversion"/>
  </si>
  <si>
    <t>RESPONSIBLE</t>
  </si>
  <si>
    <t>Man Day Required</t>
  </si>
  <si>
    <t>STATUS</t>
  </si>
  <si>
    <t>Sprint 1</t>
  </si>
  <si>
    <t xml:space="preserve">Dividend Distribution </t>
  </si>
  <si>
    <t>Data Mapping, Data Migration &amp; Create Tables in DB</t>
  </si>
  <si>
    <t>BA</t>
  </si>
  <si>
    <t xml:space="preserve">Data Related Detail Requirement Analysis </t>
  </si>
  <si>
    <t>Patrick -BA</t>
    <phoneticPr fontId="1" type="noConversion"/>
  </si>
  <si>
    <t xml:space="preserve">Data Related Document Detail Requirement  </t>
  </si>
  <si>
    <t>Development</t>
  </si>
  <si>
    <t>Data Mapping - Development</t>
  </si>
  <si>
    <t>Data Migration - Development</t>
  </si>
  <si>
    <t>Sprint 2</t>
  </si>
  <si>
    <t>Create Tables in DB - Development</t>
  </si>
  <si>
    <t>Testing</t>
    <phoneticPr fontId="1" type="noConversion"/>
  </si>
  <si>
    <t>Data Related QA - unit testing</t>
  </si>
  <si>
    <t>BA/Testing</t>
  </si>
  <si>
    <t>Maintain Distributable Balance 可分配餘額維護作業</t>
  </si>
  <si>
    <t xml:space="preserve">Maintain Distributable Balance  Detail Requirement Analysis </t>
  </si>
  <si>
    <t xml:space="preserve">Maintain Distributable Document Detail Requirement  </t>
  </si>
  <si>
    <t>Maintain Distributable Balance - Development 1</t>
  </si>
  <si>
    <t>FrontEnd</t>
    <phoneticPr fontId="1" type="noConversion"/>
  </si>
  <si>
    <t>Sprint 3</t>
  </si>
  <si>
    <t xml:space="preserve">Dividend Distribution </t>
    <phoneticPr fontId="1" type="noConversion"/>
  </si>
  <si>
    <t>Maintain Distributable Balance - Development 2</t>
  </si>
  <si>
    <t>Maintain Distributable Balance QA - unit testing</t>
  </si>
  <si>
    <t>Domestic Dividend Information Inquiry 境內配息資訊查詢作業</t>
  </si>
  <si>
    <t xml:space="preserve">Domestic Dividend Information Inquiry Detail Requirement Analysis </t>
  </si>
  <si>
    <t xml:space="preserve">Domestic Dividend Information Inquiry Document Detail Requirement  </t>
  </si>
  <si>
    <t>Sprint 4</t>
  </si>
  <si>
    <t>Domestic Dividend Information Inquiry - Development 1</t>
  </si>
  <si>
    <t>Domestic Dividend Information Inquiry - Development 2</t>
  </si>
  <si>
    <t>Sprint 5</t>
  </si>
  <si>
    <t>Domestic Dividend Information Inquiry QA - unit testing</t>
  </si>
  <si>
    <t>Upload Domestic Dividend Composition Info to EC 境內配息組成資訊上傳EC</t>
  </si>
  <si>
    <t xml:space="preserve">Upload Domestic Dividend Composition Info to EC - Detail Requirement Analysis </t>
  </si>
  <si>
    <t xml:space="preserve">Upload Domestic Dividend Composition Info to EC - Document Detail Requirement  </t>
  </si>
  <si>
    <t>Upload Domestic Dividend Composition Info to EC - Development 1</t>
  </si>
  <si>
    <t>Upload Domestic Dividend Composition Info to EC - Development 2</t>
  </si>
  <si>
    <t>Sprint 6</t>
  </si>
  <si>
    <t>Upload Domestic Dividend Composition Info to EC QA - unit testing</t>
  </si>
  <si>
    <t>Mandate</t>
  </si>
  <si>
    <t xml:space="preserve">Data Mapping, Data Migration &amp; Create Tables in DB Requirement Analysis </t>
    <phoneticPr fontId="1" type="noConversion"/>
  </si>
  <si>
    <t>Mandate</t>
    <phoneticPr fontId="1" type="noConversion"/>
  </si>
  <si>
    <t xml:space="preserve">Data Mapping, Data Migration &amp; Create Tables in DB Requirement  </t>
    <phoneticPr fontId="1" type="noConversion"/>
  </si>
  <si>
    <t>New AP Lead</t>
  </si>
  <si>
    <t>FAS 8111 Mandate Client Information Maintenance 全委委託人資料維護</t>
  </si>
  <si>
    <t xml:space="preserve">Mandate Client Information Maintenance Requirement Analysis </t>
  </si>
  <si>
    <t xml:space="preserve">Mandate Client Information Maintenance Requirement  </t>
  </si>
  <si>
    <t>Mandate Client Information Maintenance - Development 1</t>
  </si>
  <si>
    <t>Mandate Client Information Maintenance - Development 2</t>
  </si>
  <si>
    <t>Mandate Client Information Maintenance QA - unit-testing</t>
  </si>
  <si>
    <t>FAS 8112 Mandate Contract Information Maintenance 全委契約資料維護</t>
  </si>
  <si>
    <t xml:space="preserve">Mandate Contract Information Maintenance Requirement Analysis </t>
  </si>
  <si>
    <t xml:space="preserve">Mandate Contract Information Maintenance Requirement  </t>
  </si>
  <si>
    <t>Mandate Contract Information Maintenance  - Development 1</t>
  </si>
  <si>
    <t>Sprint 7</t>
  </si>
  <si>
    <t>Mandate Contract Information Maintenance - Development 2</t>
  </si>
  <si>
    <t>Kent</t>
    <phoneticPr fontId="1" type="noConversion"/>
  </si>
  <si>
    <t>Sprint 8</t>
  </si>
  <si>
    <t>Mandate Contract Information Maintenance  QA - unit-testing</t>
  </si>
  <si>
    <t>FAS 8121 Mandate Subscription Data Entry 全委申購資料登錄</t>
  </si>
  <si>
    <t xml:space="preserve">Mandate Subscription Data Entry Requirement Analysis </t>
  </si>
  <si>
    <t>Mandate Subscription Data Entry Requirement Doc</t>
  </si>
  <si>
    <t>Mandate Subscription Data Entry - Development 1</t>
  </si>
  <si>
    <t>Mandate Subscription Data Entry - Development 2</t>
  </si>
  <si>
    <t>Sprint 9</t>
  </si>
  <si>
    <t>Mandate Subscription Data Entry QA - unit-testing</t>
  </si>
  <si>
    <t>FAS 8122 Mandate Redemption Data Entry 全委買回資料登錄</t>
  </si>
  <si>
    <t xml:space="preserve">Mandate Redemption Data Entry Requirement Analysis </t>
  </si>
  <si>
    <t>Mandate Redemption Data Entry Requirement Doc</t>
  </si>
  <si>
    <t>Mandate Redemption Data Entry - Development 1</t>
  </si>
  <si>
    <t>Sprint 10</t>
  </si>
  <si>
    <t>Mandate Redemption Data Entry - Development 2</t>
  </si>
  <si>
    <t>Sprint 11</t>
  </si>
  <si>
    <t>Mandate Redemption Data Entry  QA - unit-testing</t>
  </si>
  <si>
    <t>FAS 8151 Mandate Fund NAV Inquiry 全委基金淨值查詢</t>
  </si>
  <si>
    <t xml:space="preserve">Mandate Fund NAV Inquiry Requirement Analysis </t>
  </si>
  <si>
    <t>Mandate Fund NAV Inquiry Requirement Doc</t>
  </si>
  <si>
    <t>Mandate Fund NAV Inquiry - Development 1</t>
  </si>
  <si>
    <t>Sprint 12</t>
  </si>
  <si>
    <t>Mandate Fund NAV Inquiry - Development 2</t>
  </si>
  <si>
    <t>Mandate Fund NAV Inquiry  QA - unit-testing</t>
  </si>
  <si>
    <t>FAS 8152 Mandate Account Holdings Inquiry 全委帳戶庫存查詢</t>
  </si>
  <si>
    <t>Sprint 13</t>
  </si>
  <si>
    <t>FAS 81611 Subscription Details Report 申購資料明細表</t>
  </si>
  <si>
    <t xml:space="preserve">Subscription Details Report Requirement Analysis </t>
    <phoneticPr fontId="1" type="noConversion"/>
  </si>
  <si>
    <t xml:space="preserve">Subscription Details Report Requirement  </t>
    <phoneticPr fontId="1" type="noConversion"/>
  </si>
  <si>
    <t>Subscription Details Report - Development 1</t>
    <phoneticPr fontId="1" type="noConversion"/>
  </si>
  <si>
    <t>Subscription Details Report - Development 2</t>
    <phoneticPr fontId="1" type="noConversion"/>
  </si>
  <si>
    <t>Subscription Details Report QA - unit-testing</t>
    <phoneticPr fontId="1" type="noConversion"/>
  </si>
  <si>
    <t>FAS 81621 Redemption Details Report 買回資料明細表</t>
  </si>
  <si>
    <t xml:space="preserve">Redemption Details Report Requirement Analysis </t>
    <phoneticPr fontId="1" type="noConversion"/>
  </si>
  <si>
    <t xml:space="preserve">Redemption Details Report Requirement  </t>
    <phoneticPr fontId="1" type="noConversion"/>
  </si>
  <si>
    <t>Redemption Details Report - Development 1</t>
    <phoneticPr fontId="1" type="noConversion"/>
  </si>
  <si>
    <t>Redemption Details Report - Development 2</t>
    <phoneticPr fontId="1" type="noConversion"/>
  </si>
  <si>
    <t>Redemption Details Report QA - unit-testing</t>
    <phoneticPr fontId="1" type="noConversion"/>
  </si>
  <si>
    <t>FAS 8171 Mandate NAV Import Process (State Street) 全委淨值匯入作業(道富)</t>
  </si>
  <si>
    <t xml:space="preserve">Mandate NAV Import Process (State Street) Requirement Analysis </t>
  </si>
  <si>
    <t xml:space="preserve">Mandate NAV Import Process (State Street) Requirement  </t>
  </si>
  <si>
    <t>Mandate NAV Import Process (State Street) - Development 1</t>
  </si>
  <si>
    <t>Mandate NAV Import Process (State Street) - Development 2</t>
  </si>
  <si>
    <t>Mandate NAV Import Process (State Street) QA - unit-testing</t>
  </si>
  <si>
    <t>FAS 81811 Generate Mandate Subscription/Redemption Data 全委申贖資料產生</t>
  </si>
  <si>
    <t xml:space="preserve">Generate Mandate Subscription/Redemption Data Requirement Analysis </t>
  </si>
  <si>
    <t xml:space="preserve">Generate Mandate Subscription/Redemption Data Requirement  </t>
  </si>
  <si>
    <t>Generate Mandate Subscription/Redemption Data - Development 1</t>
  </si>
  <si>
    <t>Generate Mandate Subscription/Redemption Data - Development 2</t>
  </si>
  <si>
    <t>Sprint 14</t>
  </si>
  <si>
    <t>Generate Mandate Subscription/Redemption Data QA - unit-testing</t>
  </si>
  <si>
    <t>Sprint 15</t>
  </si>
  <si>
    <t>FAS 81812 Export Mandate Subscription/Redemption Data 全委申贖資料匯出</t>
  </si>
  <si>
    <t xml:space="preserve">Export Mandate Subscription/Redemption Data Requirement Analysis </t>
  </si>
  <si>
    <t xml:space="preserve">Export Mandate Subscription/Redemption Data Requirement  </t>
  </si>
  <si>
    <t>Export Mandate Subscription/Redemption Data - Development 1</t>
  </si>
  <si>
    <t>Sprint 16</t>
  </si>
  <si>
    <t>Export Mandate Subscription/Redemption Data - Development 2</t>
  </si>
  <si>
    <t>Export Mandate Subscription/Redemption Data QA - unit-testing</t>
  </si>
  <si>
    <t>Sprint 17</t>
  </si>
  <si>
    <t>FAS 81831 Generate SSB Mandate Subscription/Redemption Data 產生SSB全委申贖資料</t>
  </si>
  <si>
    <t xml:space="preserve">Generate SSB Mandate Subscription/Redemption Data Requirement Analysis </t>
  </si>
  <si>
    <t xml:space="preserve">Generate SSB Mandate Subscription/Redemption Data Requirement  </t>
  </si>
  <si>
    <t>Generate SSB Mandate Subscription/Redemption Data - Development 1</t>
  </si>
  <si>
    <t>Sprint 18</t>
  </si>
  <si>
    <t>Generate SSB Mandate Subscription/Redemption Data - Development 2</t>
  </si>
  <si>
    <t>Sprint 19</t>
  </si>
  <si>
    <t>Generate SSB Mandate Subscription/Redemption Data QA - unit-testing</t>
  </si>
  <si>
    <t>FAS 81832 Export SSB Mandate Subscription/Redemption Data 匯出SSB全委申贖資料</t>
  </si>
  <si>
    <t xml:space="preserve">Export SSB Mandate Subscription/Redemption Data Requirement Analysis </t>
  </si>
  <si>
    <t xml:space="preserve">Export SSB Mandate Subscription/Redemption Data Requirement  </t>
  </si>
  <si>
    <t>Export SSB Mandate Subscription/Redemption Data - Development 1</t>
  </si>
  <si>
    <t>Sprint 20</t>
  </si>
  <si>
    <t>Export SSB Mandate Subscription/Redemption Data - Development 2</t>
  </si>
  <si>
    <t>Export SSB Mandate Subscription/Redemption Data QA - unit-testing</t>
  </si>
  <si>
    <t>FAS 883 Fund NAV Auto Import Process 基金淨值自動匯入作業</t>
  </si>
  <si>
    <t xml:space="preserve">Fund NAV Auto Import Process Requirement Analysis </t>
    <phoneticPr fontId="1" type="noConversion"/>
  </si>
  <si>
    <t xml:space="preserve">Fund NAV Auto Import Process Data Requirement  </t>
    <phoneticPr fontId="1" type="noConversion"/>
  </si>
  <si>
    <t>Fund NAV Auto Import Process Data - Development 1</t>
    <phoneticPr fontId="1" type="noConversion"/>
  </si>
  <si>
    <t>Fund NAV Auto Import Process Data - Development 2</t>
    <phoneticPr fontId="1" type="noConversion"/>
  </si>
  <si>
    <t>Fund NAV Auto Import Process QA - unit-testing</t>
    <phoneticPr fontId="1" type="noConversion"/>
  </si>
  <si>
    <t>FAS 884 Fund NAV Import Status Inquiry 基金淨值匯入狀況查詢</t>
  </si>
  <si>
    <t xml:space="preserve">Fund NAV Import Status Inquiry Requirement Analysis </t>
    <phoneticPr fontId="1" type="noConversion"/>
  </si>
  <si>
    <t xml:space="preserve">Fund NAV Import Status Inquiry Data Requirement  </t>
    <phoneticPr fontId="1" type="noConversion"/>
  </si>
  <si>
    <t>Fund NAV Import Status Inquiry - Development 1</t>
    <phoneticPr fontId="1" type="noConversion"/>
  </si>
  <si>
    <t>Fund NAV Import Status Inquiry - Development 2</t>
    <phoneticPr fontId="1" type="noConversion"/>
  </si>
  <si>
    <t>Fund NAV Import Status Inquiry QA - unit-testing</t>
    <phoneticPr fontId="1" type="noConversion"/>
  </si>
  <si>
    <t>FAS 893 Calendar File - Mandate 全委日曆檔</t>
  </si>
  <si>
    <t xml:space="preserve">Calendar File Requirement Analysis </t>
    <phoneticPr fontId="1" type="noConversion"/>
  </si>
  <si>
    <t xml:space="preserve">Calendar File Requirement  </t>
    <phoneticPr fontId="1" type="noConversion"/>
  </si>
  <si>
    <t>Calendar File - Development 1</t>
    <phoneticPr fontId="1" type="noConversion"/>
  </si>
  <si>
    <t>Calendar File - Development 2</t>
    <phoneticPr fontId="1" type="noConversion"/>
  </si>
  <si>
    <t>Calendar File QA - unit-testing</t>
    <phoneticPr fontId="1" type="noConversion"/>
  </si>
  <si>
    <t>FAS 893 Payment Notice – Management Fee, Custody Fee 付款通知書-經理費、保管費</t>
  </si>
  <si>
    <t xml:space="preserve">Payment Notice – Management Fee, Custody Fee Requirement Analysis </t>
    <phoneticPr fontId="1" type="noConversion"/>
  </si>
  <si>
    <t xml:space="preserve">Payment Notice – Management Fee, Custody Fee Requirement  </t>
    <phoneticPr fontId="1" type="noConversion"/>
  </si>
  <si>
    <t>Payment Notice – Management Fee, Custody Fee - Development 1</t>
    <phoneticPr fontId="1" type="noConversion"/>
  </si>
  <si>
    <t>Payment Notice – Management Fee, Custody Fee - Development 2</t>
    <phoneticPr fontId="1" type="noConversion"/>
  </si>
  <si>
    <t>Payment Notice – Management Fee, Custody Fee QA - unit-testing</t>
    <phoneticPr fontId="1" type="noConversion"/>
  </si>
  <si>
    <t>FAS 893 Validation – Dividend Data 檢核-配息資料</t>
  </si>
  <si>
    <t xml:space="preserve">Validation – Dividend Data Requirement Analysis </t>
    <phoneticPr fontId="1" type="noConversion"/>
  </si>
  <si>
    <t xml:space="preserve">Validation – Dividend Data Requirement  </t>
    <phoneticPr fontId="1" type="noConversion"/>
  </si>
  <si>
    <t>Validation – Dividend Data - Development 1</t>
    <phoneticPr fontId="1" type="noConversion"/>
  </si>
  <si>
    <t>Validation – Dividend Data - Development 2</t>
    <phoneticPr fontId="1" type="noConversion"/>
  </si>
  <si>
    <t>Validation – Dividend Data QA - unit-testing</t>
    <phoneticPr fontId="1" type="noConversion"/>
  </si>
  <si>
    <t>FAS 893 Payment Notice – Dividend Distribution</t>
  </si>
  <si>
    <t xml:space="preserve">Payment Notice – Dividend Distribution Requirement Analysis </t>
  </si>
  <si>
    <t xml:space="preserve">Payment Notice – Dividend Distribution Requirement  </t>
  </si>
  <si>
    <t>Sprint 21</t>
  </si>
  <si>
    <t>Payment Notice – Dividend Distribution - Development 1</t>
  </si>
  <si>
    <t>Payment Notice – Dividend Distribution - Development 2</t>
  </si>
  <si>
    <t>Payment Notice – Dividend Distribution QA - unit-testing</t>
  </si>
  <si>
    <t>FAS 893 Payment Notice – Dividend Instruction Printing</t>
  </si>
  <si>
    <t xml:space="preserve">Payment Notice – Dividend Instruction Printing Requirement Analysis </t>
    <phoneticPr fontId="1" type="noConversion"/>
  </si>
  <si>
    <t xml:space="preserve">Payment Notice – Dividend Instruction Printing Requirement  </t>
    <phoneticPr fontId="1" type="noConversion"/>
  </si>
  <si>
    <t>Sprint 22</t>
  </si>
  <si>
    <t>Payment Notice – Dividend Instruction Printing - Development 1</t>
    <phoneticPr fontId="1" type="noConversion"/>
  </si>
  <si>
    <t>Payment Notice – Dividend Instruction Printing - Development 2</t>
    <phoneticPr fontId="1" type="noConversion"/>
  </si>
  <si>
    <t>Payment Notice – Dividend Instruction Printing QA - unit-testing</t>
    <phoneticPr fontId="1" type="noConversion"/>
  </si>
  <si>
    <t>DMS 271 Mandate Data Generation Process 全委資料產生作業</t>
  </si>
  <si>
    <t xml:space="preserve">Mandate Data Generation Process Requirement Analysis </t>
  </si>
  <si>
    <t>Mandate Data Generation Process Requirement Doc</t>
  </si>
  <si>
    <t>Mandate Data Generation Process - Development 1</t>
  </si>
  <si>
    <t>Mandate Data Generation Process - Development 2</t>
  </si>
  <si>
    <t>Mandate Data Generation Process QA - unit-testing</t>
  </si>
  <si>
    <t>DMS 272 Mandate Data Maintenance Process 全委資料維護作業</t>
  </si>
  <si>
    <t xml:space="preserve">Mandate Data Maintenance Process Requirement Analysis </t>
  </si>
  <si>
    <t>Mandate Data Maintenance Process Requirement Doc</t>
  </si>
  <si>
    <t>Mandate Data Maintenance Process - Development 1</t>
  </si>
  <si>
    <t>Mandate Data Maintenance Process - Development 2</t>
  </si>
  <si>
    <t>Mandate Data Maintenance Process QA - unit-testing</t>
  </si>
  <si>
    <t>DMS 593916 Subscription/Redemption Posting Details Report 申購贖回入帳明細表</t>
  </si>
  <si>
    <t xml:space="preserve">Subscription/Redemption Posting Details Report Requirement Analysis </t>
    <phoneticPr fontId="1" type="noConversion"/>
  </si>
  <si>
    <t>Subscription/Redemption Posting Details Report Requirement Doc</t>
  </si>
  <si>
    <t>Subscription/Redemption Posting Details Report - Development 1</t>
    <phoneticPr fontId="1" type="noConversion"/>
  </si>
  <si>
    <t>Subscription/Redemption Posting Details Report - Development 2</t>
    <phoneticPr fontId="1" type="noConversion"/>
  </si>
  <si>
    <t>Subscription/Redemption Posting Details Report QA - unit-testing</t>
    <phoneticPr fontId="1" type="noConversion"/>
  </si>
  <si>
    <t>DMS 6571B Mandate Contract Asset Movement Report 全委契約資產動動表</t>
  </si>
  <si>
    <t xml:space="preserve">Mandate Contract Asset Movement Report Requirement Analysis </t>
  </si>
  <si>
    <t xml:space="preserve">Mandate Contract Asset Movement Report Requirement Doc </t>
  </si>
  <si>
    <t>Mandate Contract Asset Movement Report - Development 1</t>
  </si>
  <si>
    <t>Mandate Contract Asset Movement Report - Development 2</t>
  </si>
  <si>
    <t>Mandate Contract Asset Movement Report QA - unit-testing</t>
  </si>
  <si>
    <t>DMS 65731 PAMS Inventory File Export PAMS 庫存檔轉出</t>
  </si>
  <si>
    <t xml:space="preserve">PAMS Inventory File Export Requirement Analysis </t>
    <phoneticPr fontId="1" type="noConversion"/>
  </si>
  <si>
    <t>PAMS Inventory File Export Requirement Doc</t>
  </si>
  <si>
    <t>PAMS Inventory File Export - Development 1</t>
    <phoneticPr fontId="1" type="noConversion"/>
  </si>
  <si>
    <t>PAMS Inventory File Export - Development 2</t>
    <phoneticPr fontId="1" type="noConversion"/>
  </si>
  <si>
    <t>PAMS Inventory File Export QA - unit-testing</t>
    <phoneticPr fontId="1" type="noConversion"/>
  </si>
  <si>
    <t>DMS 756 Mandate Stock Stop-Loss Control Table 全權委託股票停損控管表</t>
  </si>
  <si>
    <t xml:space="preserve">Mandate Stock Stop-Loss Control Table Requirement Analysis </t>
  </si>
  <si>
    <t xml:space="preserve">Mandate Stock Stop-Loss Control Table Requirement  </t>
  </si>
  <si>
    <t>Mandate Stock Stop-Loss Control Table - Development 1</t>
  </si>
  <si>
    <t>Mandate Stock Stop-Loss Control Table - Development 2</t>
  </si>
  <si>
    <t>Mandate Stock Stop-Loss Control Table QA - unit-testing</t>
  </si>
  <si>
    <t>Report - 基金規模報表查詢</t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</si>
  <si>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Requirement Analysis </t>
    </r>
    <phoneticPr fontId="1" type="noConversion"/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</si>
  <si>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Requirement</t>
    </r>
    <r>
      <rPr>
        <sz val="10"/>
        <color theme="1"/>
        <rFont val="Calibri"/>
        <family val="2"/>
      </rPr>
      <t xml:space="preserve"> Doc</t>
    </r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</si>
  <si>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- Development</t>
    </r>
    <phoneticPr fontId="1" type="noConversion"/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</si>
  <si>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QA - unit-testing</t>
    </r>
    <phoneticPr fontId="1" type="noConversion"/>
  </si>
  <si>
    <t>DMS 744 Taiwan Ratings Reporting Data 中華信評申報資料</t>
  </si>
  <si>
    <r>
      <t>Taiwan Ratings Reporting Data</t>
    </r>
    <r>
      <rPr>
        <sz val="10"/>
        <color theme="1"/>
        <rFont val="Calibri"/>
        <family val="2"/>
      </rPr>
      <t xml:space="preserve"> Requirement Analysis </t>
    </r>
  </si>
  <si>
    <t>Sprint 23</t>
  </si>
  <si>
    <t>Taiwan Ratings Reporting Data  Requirement Doc</t>
  </si>
  <si>
    <r>
      <t xml:space="preserve">Taiwan Ratings Reporting Data </t>
    </r>
    <r>
      <rPr>
        <sz val="10"/>
        <color theme="1"/>
        <rFont val="Calibri"/>
        <family val="2"/>
      </rPr>
      <t xml:space="preserve"> - Development</t>
    </r>
  </si>
  <si>
    <r>
      <t xml:space="preserve">Taiwan Ratings Reporting Data </t>
    </r>
    <r>
      <rPr>
        <sz val="10"/>
        <color theme="1"/>
        <rFont val="Calibri"/>
        <family val="2"/>
      </rPr>
      <t xml:space="preserve"> QA - unit-testing</t>
    </r>
  </si>
  <si>
    <t>DMS 758 Mutual Fund Asset Size Export Process 共同基金資產規模轉出作業</t>
  </si>
  <si>
    <t xml:space="preserve">Mutual Fund Asset Size Export Process Requirement Analysis </t>
  </si>
  <si>
    <t>Sprint 24</t>
  </si>
  <si>
    <t>Mutual Fund Asset Size Export Process  Requirement Doc</t>
  </si>
  <si>
    <t>Mutual Fund Asset Size Export Process  - Development</t>
  </si>
  <si>
    <t>Mutual Fund Asset Size Export Process - unit-testing</t>
  </si>
  <si>
    <t>SPRINT</t>
  </si>
  <si>
    <t>Sprint 0</t>
  </si>
  <si>
    <t>Shareholders' Meeting &amp; Management</t>
  </si>
  <si>
    <t>Data Mapping, Data Migration &amp; Create Tables in DB</t>
    <phoneticPr fontId="1" type="noConversion"/>
  </si>
  <si>
    <t>BA</t>
    <phoneticPr fontId="1" type="noConversion"/>
  </si>
  <si>
    <t xml:space="preserve">Data Mapping, Data Migration &amp; Create Tables in DB Requirement  </t>
  </si>
  <si>
    <t>QA</t>
  </si>
  <si>
    <t>QA</t>
    <phoneticPr fontId="1" type="noConversion"/>
  </si>
  <si>
    <t>Patrick-BA</t>
  </si>
  <si>
    <t>FrontEnd</t>
  </si>
  <si>
    <t xml:space="preserve">Generate Shareholder Meeting Data </t>
  </si>
  <si>
    <t xml:space="preserve">Generate Shareholder Meeting Data  Requirement Analysis </t>
  </si>
  <si>
    <t xml:space="preserve">Generate Shareholder Meeting Data  Requirement  </t>
  </si>
  <si>
    <t>Sprint 25</t>
  </si>
  <si>
    <t>Generate Shareholder Meeting Data  - Development 1</t>
  </si>
  <si>
    <t>Generate Shareholder Meeting Data  - Development 2</t>
  </si>
  <si>
    <t>Generate Shareholder Meeting Data  QA - unit-testing</t>
  </si>
  <si>
    <t>Sprint 26</t>
  </si>
  <si>
    <t xml:space="preserve">Generate Memo for Assigned Personnel/Function </t>
  </si>
  <si>
    <t xml:space="preserve">Generate Memo for Assigned Personnel/Function Requirement Analysis </t>
  </si>
  <si>
    <t xml:space="preserve">Generate Memo for Assigned Personnel/Function Requirement  </t>
  </si>
  <si>
    <t>Generate Memo for Assigned Personnel/Function - Development 1</t>
  </si>
  <si>
    <t>Generate Memo for Assigned Personnel/Function - Development 2</t>
  </si>
  <si>
    <t>Sprint 27</t>
  </si>
  <si>
    <t>Generate Memo for Assigned Personnel/Function QA - unit-testing</t>
  </si>
  <si>
    <t xml:space="preserve">Director/Supervisor Election Report/Function  </t>
  </si>
  <si>
    <t xml:space="preserve">Director/Supervisor Election Report/Function Requirement Analysis </t>
  </si>
  <si>
    <t xml:space="preserve">Director/Supervisor Election Report/Function Requirement  </t>
  </si>
  <si>
    <t>Director/Supervisor Election Report/Function - Development 1</t>
  </si>
  <si>
    <t>Director/Supervisor Election Report/Function - Development 2</t>
  </si>
  <si>
    <t>Sprint 28</t>
  </si>
  <si>
    <t>Director/Supervisor Election Report/Function QA - unit-testing</t>
  </si>
  <si>
    <t xml:space="preserve">Shareholder Meeting Fund Attendance Details Report </t>
  </si>
  <si>
    <t xml:space="preserve">Shareholder Meeting Fund Attendance Details Report Requirement Analysis </t>
  </si>
  <si>
    <t xml:space="preserve">Shareholder Meeting Fund Attendance Details Report Requirement  </t>
  </si>
  <si>
    <t>Shareholder Meeting Fund Attendance Details Report - Development 1</t>
  </si>
  <si>
    <t>Shareholder Meeting Fund Attendance Details Report - Development 2</t>
  </si>
  <si>
    <t>Shareholder Meeting Fund Attendance Details Report QA - unit-testing</t>
  </si>
  <si>
    <t xml:space="preserve">Shareholder Meeting Missing Election Report Details  </t>
  </si>
  <si>
    <t xml:space="preserve">Shareholder Meeting Missing Election Report Details Requirement Analysis </t>
  </si>
  <si>
    <t xml:space="preserve">Shareholder Meeting Missing Election Report Details Report Requirement  </t>
  </si>
  <si>
    <t>Shareholder Meeting Missing Election Report Details Report - Development 1</t>
  </si>
  <si>
    <t>Sprint 29</t>
  </si>
  <si>
    <t>Shareholder Meeting Missing Election Report Details - Development 2</t>
  </si>
  <si>
    <t>Shareholder Meeting Missing Election Report Details QA - unit-testing</t>
  </si>
  <si>
    <t>Stock Basic Data Maintenance</t>
  </si>
  <si>
    <t xml:space="preserve">Stock Basic Data Maintenance Requirement Analysis </t>
  </si>
  <si>
    <t xml:space="preserve">Stock Basic Data Maintenance Requirement  </t>
  </si>
  <si>
    <t>Stock Basic Data Maintenance - Development 1</t>
  </si>
  <si>
    <t>Stock Basic Data Maintenance - Development 2</t>
  </si>
  <si>
    <t>Stock Basic Data Maintenance QA - unit-testing</t>
  </si>
  <si>
    <t>Sprint30</t>
  </si>
  <si>
    <t>Pararell Run</t>
  </si>
  <si>
    <t>All</t>
  </si>
  <si>
    <t>Shareholders' Meeting &amp; Managem</t>
    <phoneticPr fontId="1" type="noConversion"/>
  </si>
  <si>
    <t>Low</t>
  </si>
  <si>
    <t>Mid</t>
  </si>
  <si>
    <t>Shareholders' Meeting &amp; Management</t>
    <phoneticPr fontId="1" type="noConversion"/>
  </si>
  <si>
    <t>Sprint 30</t>
  </si>
  <si>
    <t/>
  </si>
  <si>
    <t>Patrick</t>
  </si>
  <si>
    <t>Richard</t>
  </si>
  <si>
    <t>Sprint</t>
  </si>
  <si>
    <t>Start Date</t>
  </si>
  <si>
    <t>End Date</t>
  </si>
  <si>
    <t>Sprint 31</t>
  </si>
  <si>
    <t>Sprint 32</t>
  </si>
  <si>
    <t>Sprint 33</t>
  </si>
  <si>
    <t>App</t>
  </si>
  <si>
    <t>Module</t>
  </si>
  <si>
    <t>Code</t>
  </si>
  <si>
    <t>Chinese Name</t>
  </si>
  <si>
    <t>Features</t>
    <phoneticPr fontId="1" type="noConversion"/>
  </si>
  <si>
    <t>Detailed req est. </t>
  </si>
  <si>
    <t>Dev + Unit test est.</t>
  </si>
  <si>
    <t>Detailed req est. 2</t>
  </si>
  <si>
    <t>Dev + Unit test est.3</t>
  </si>
  <si>
    <t>Full Time Estimate(%)</t>
  </si>
  <si>
    <t>Status</t>
  </si>
  <si>
    <t>Req ETA</t>
  </si>
  <si>
    <t> DEV ETA</t>
  </si>
  <si>
    <t>UAT ETA</t>
  </si>
  <si>
    <t>DMS</t>
  </si>
  <si>
    <t>Data mapping</t>
    <phoneticPr fontId="1" type="noConversion"/>
  </si>
  <si>
    <t>In Unit Testing</t>
  </si>
  <si>
    <t>Data Migration</t>
    <phoneticPr fontId="1" type="noConversion"/>
  </si>
  <si>
    <t>Create Tables in DB</t>
    <phoneticPr fontId="1" type="noConversion"/>
  </si>
  <si>
    <t>7911、79161</t>
  </si>
  <si>
    <t>股東會資料產生</t>
  </si>
  <si>
    <t>指派人員產生簽呈</t>
  </si>
  <si>
    <t>In Development</t>
  </si>
  <si>
    <t>董監改補選報告</t>
  </si>
  <si>
    <t>股東會基金出席明細表</t>
  </si>
  <si>
    <r>
      <rPr>
        <sz val="12"/>
        <rFont val="微軟正黑體"/>
        <family val="2"/>
        <charset val="136"/>
      </rPr>
      <t>股東會董監改選缺交報告明細表</t>
    </r>
  </si>
  <si>
    <t>股票基本資料維護</t>
  </si>
  <si>
    <r>
      <rPr>
        <sz val="12"/>
        <color rgb="FF000000"/>
        <rFont val="微軟正黑體"/>
        <family val="2"/>
        <charset val="136"/>
      </rPr>
      <t>轉入</t>
    </r>
    <r>
      <rPr>
        <sz val="12"/>
        <color rgb="FF000000"/>
        <rFont val="Calibri"/>
        <family val="2"/>
      </rPr>
      <t>Stock_Pool List</t>
    </r>
  </si>
  <si>
    <t>Import Stock_Pool List</t>
  </si>
  <si>
    <r>
      <rPr>
        <sz val="12"/>
        <color rgb="FF000000"/>
        <rFont val="微軟正黑體"/>
        <family val="2"/>
        <charset val="136"/>
      </rPr>
      <t>維護</t>
    </r>
    <r>
      <rPr>
        <sz val="12"/>
        <color rgb="FF000000"/>
        <rFont val="Calibri"/>
        <family val="2"/>
      </rPr>
      <t>Stock_Pool List</t>
    </r>
  </si>
  <si>
    <t>Maintain Stock_Pool List</t>
  </si>
  <si>
    <t>Dividend</t>
    <phoneticPr fontId="0" type="noConversion"/>
  </si>
  <si>
    <t>Maintain Distributable Balance</t>
  </si>
  <si>
    <t>Domestic Dividend Information Inquiry</t>
  </si>
  <si>
    <t>Upload Domestic Dividend Composition Info to EC</t>
  </si>
  <si>
    <t>Mandate</t>
    <phoneticPr fontId="0" type="noConversion"/>
  </si>
  <si>
    <t>FAS</t>
  </si>
  <si>
    <t>Subscription Details Report</t>
    <phoneticPr fontId="1" type="noConversion"/>
  </si>
  <si>
    <t>Redemption Details Report</t>
    <phoneticPr fontId="1" type="noConversion"/>
  </si>
  <si>
    <t>Full Discretionary NAV Import Process (State Street)</t>
    <phoneticPr fontId="1" type="noConversion"/>
  </si>
  <si>
    <t>Generate Full Discretionary Subscription/Redemption Data</t>
    <phoneticPr fontId="1" type="noConversion"/>
  </si>
  <si>
    <t>Export Full Discretionary Subscription/Redemption Data</t>
    <phoneticPr fontId="1" type="noConversion"/>
  </si>
  <si>
    <t>Generate SSB Full Discretionary Subscription/Redemption Data</t>
    <phoneticPr fontId="1" type="noConversion"/>
  </si>
  <si>
    <t>Export SSB Full Discretionary Subscription/Redemption Data</t>
    <phoneticPr fontId="1" type="noConversion"/>
  </si>
  <si>
    <t>Fund NAV Auto Import Process</t>
    <phoneticPr fontId="1" type="noConversion"/>
  </si>
  <si>
    <t>Fund NAV Import Status Inquiry</t>
    <phoneticPr fontId="1" type="noConversion"/>
  </si>
  <si>
    <t>Payment Notice for Aladdin – Sales Fee File</t>
    <phoneticPr fontId="1" type="noConversion"/>
  </si>
  <si>
    <t>Calendar File - 全委</t>
  </si>
  <si>
    <t>Payment Notice – Management Fee, Custody Fee</t>
    <phoneticPr fontId="1" type="noConversion"/>
  </si>
  <si>
    <t>Payment Notice – Dividend Distribution</t>
    <phoneticPr fontId="1" type="noConversion"/>
  </si>
  <si>
    <t>Payment Notice – Dividend Instruction Printing</t>
    <phoneticPr fontId="1" type="noConversion"/>
  </si>
  <si>
    <t>Validation – Dividend Data</t>
    <phoneticPr fontId="1" type="noConversion"/>
  </si>
  <si>
    <t>Last 10 Years Fund Distribution Amounts</t>
    <phoneticPr fontId="1" type="noConversion"/>
  </si>
  <si>
    <t>FND Monthly Report (Electronic File)</t>
    <phoneticPr fontId="1" type="noConversion"/>
  </si>
  <si>
    <t>Full Discretionary Data Generation Process</t>
    <phoneticPr fontId="1" type="noConversion"/>
  </si>
  <si>
    <t>Full Discretionary Data Maintenance Process</t>
    <phoneticPr fontId="1" type="noConversion"/>
  </si>
  <si>
    <t>Subscription/Redemption Posting Details Report</t>
    <phoneticPr fontId="1" type="noConversion"/>
  </si>
  <si>
    <t>Full Discretionary Contract Asset Movement Report</t>
    <phoneticPr fontId="1" type="noConversion"/>
  </si>
  <si>
    <t>PAMS Inventory File Export</t>
    <phoneticPr fontId="1" type="noConversion"/>
  </si>
  <si>
    <t>Full Discretionary Stock Stop-Loss Control Table</t>
    <phoneticPr fontId="1" type="noConversion"/>
  </si>
  <si>
    <t>Automated Fund NAV Import Process</t>
  </si>
  <si>
    <t>Full Discretionary Client Information Maintenance</t>
    <phoneticPr fontId="1" type="noConversion"/>
  </si>
  <si>
    <t>Generate Shareholder Meeting Data</t>
  </si>
  <si>
    <t>Generate Memo for Assigned Personnel/Function</t>
  </si>
  <si>
    <t>Director/Supervisor Election Report/Function</t>
  </si>
  <si>
    <t>Shareholder Meeting Fund Attendance Details Report</t>
  </si>
  <si>
    <t>Shareholder Meeting Missing Election Report Details</t>
  </si>
  <si>
    <t>Maintain Distributable Balance</t>
    <phoneticPr fontId="1" type="noConversion"/>
  </si>
  <si>
    <t>Calendar File</t>
    <phoneticPr fontId="1" type="noConversion"/>
  </si>
  <si>
    <t>BA / QA</t>
    <phoneticPr fontId="1" type="noConversion"/>
  </si>
  <si>
    <t>Richard</t>
    <phoneticPr fontId="1" type="noConversion"/>
  </si>
  <si>
    <t xml:space="preserve">Last 10 Years Fund Distribution Amounts Requirement Analysis </t>
    <phoneticPr fontId="1" type="noConversion"/>
  </si>
  <si>
    <t>Last 10 Years Fund Distribution Amounts</t>
  </si>
  <si>
    <t xml:space="preserve">Last 10 Years Fund Distribution Amounts Data Requirement  </t>
    <phoneticPr fontId="1" type="noConversion"/>
  </si>
  <si>
    <t>Last 10 Years Fund Distribution Amounts - Development 1</t>
    <phoneticPr fontId="1" type="noConversion"/>
  </si>
  <si>
    <t>Last 10 Years Fund Distribution Amounts - Development 2</t>
    <phoneticPr fontId="1" type="noConversion"/>
  </si>
  <si>
    <t>Last 10 Years Fund Distribution Amounts QA - unit-testing</t>
    <phoneticPr fontId="1" type="noConversion"/>
  </si>
  <si>
    <t xml:space="preserve">FND Monthly Report (Electronic File) Requirement Analysis </t>
    <phoneticPr fontId="1" type="noConversion"/>
  </si>
  <si>
    <t>FND Monthly Report (Electronic File)</t>
  </si>
  <si>
    <t xml:space="preserve">FND Monthly Report (Electronic File) Requirement  </t>
    <phoneticPr fontId="1" type="noConversion"/>
  </si>
  <si>
    <t>FND Monthly Report (Electronic File) - Development 1</t>
    <phoneticPr fontId="1" type="noConversion"/>
  </si>
  <si>
    <t>FND Monthly Report (Electronic File) - Development 2</t>
    <phoneticPr fontId="1" type="noConversion"/>
  </si>
  <si>
    <t>FND Monthly Report (Electronic File) QA - unit-testing</t>
    <phoneticPr fontId="1" type="noConversion"/>
  </si>
  <si>
    <t xml:space="preserve">Payment Notice for Aladdin – Sales Fee File Requirement Analysis </t>
    <phoneticPr fontId="1" type="noConversion"/>
  </si>
  <si>
    <t>Payment Notice for Aladdin – Sales Fee File</t>
  </si>
  <si>
    <t xml:space="preserve">Payment Notice for Aladdin – Sales Fee File Requirement  </t>
    <phoneticPr fontId="1" type="noConversion"/>
  </si>
  <si>
    <t>Payment Notice for Aladdin – Sales Fee File - Development 1</t>
    <phoneticPr fontId="1" type="noConversion"/>
  </si>
  <si>
    <t>Payment Notice for Aladdin – Sales Fee File - Development 2</t>
    <phoneticPr fontId="1" type="noConversion"/>
  </si>
  <si>
    <t>Payment Notice for Aladdin – Sales Fee File QA - unit-testing</t>
    <phoneticPr fontId="1" type="noConversion"/>
  </si>
  <si>
    <t xml:space="preserve">Payment Notice – Dividend Distribution Requirement Analysis </t>
    <phoneticPr fontId="1" type="noConversion"/>
  </si>
  <si>
    <t>Payment Notice – Dividend Distribution</t>
  </si>
  <si>
    <t xml:space="preserve">Payment Notice – Dividend Distribution Requirement  </t>
    <phoneticPr fontId="1" type="noConversion"/>
  </si>
  <si>
    <t>Payment Notice – Dividend Distribution - Development 1</t>
    <phoneticPr fontId="1" type="noConversion"/>
  </si>
  <si>
    <t>Payment Notice – Dividend Distribution - Development 2</t>
    <phoneticPr fontId="1" type="noConversion"/>
  </si>
  <si>
    <t>Payment Notice – Dividend Distribution QA - unit-testing</t>
    <phoneticPr fontId="1" type="noConversion"/>
  </si>
  <si>
    <t>Payment Notice – Dividend Instruction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</si>
</sst>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NTD]\ #,##0"/>
    <numFmt numFmtId="166" formatCode="m&quot;月&quot;d&quot;日&quot;"/>
  </numFmts>
  <fonts count="3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theme="1"/>
      <name val="新細明體"/>
      <family val="2"/>
      <scheme val="minor"/>
    </font>
    <font>
      <sz val="12"/>
      <name val="微軟正黑體"/>
      <family val="2"/>
      <charset val="136"/>
    </font>
    <font>
      <sz val="12"/>
      <color theme="1"/>
      <name val="Calibri"/>
      <family val="2"/>
    </font>
    <font>
      <sz val="12"/>
      <color rgb="FF000000"/>
      <name val="微軟正黑體"/>
      <family val="2"/>
      <charset val="136"/>
    </font>
    <font>
      <sz val="11"/>
      <name val="Calibri"/>
      <family val="2"/>
    </font>
    <font>
      <sz val="1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8"/>
      <name val="新細明體"/>
      <family val="2"/>
      <scheme val="minor"/>
    </font>
    <font>
      <sz val="18"/>
      <color theme="7" tint="-0.499984740745262"/>
      <name val="Calibri"/>
      <family val="2"/>
    </font>
    <font>
      <b/>
      <sz val="16"/>
      <color theme="7" tint="-0.499984740745262"/>
      <name val="Calibri"/>
      <family val="2"/>
    </font>
    <font>
      <sz val="18"/>
      <color theme="1"/>
      <name val="Calibri"/>
      <family val="2"/>
    </font>
    <font>
      <sz val="16"/>
      <color theme="1"/>
      <name val="Calibri"/>
      <family val="2"/>
    </font>
    <font>
      <sz val="11"/>
      <color theme="0" tint="-4.9989318521683403E-2"/>
      <name val="Calibri"/>
      <family val="2"/>
    </font>
    <font>
      <sz val="10"/>
      <color theme="1"/>
      <name val="微軟正黑體"/>
      <family val="2"/>
      <charset val="136"/>
    </font>
    <font>
      <sz val="11"/>
      <color theme="1"/>
      <name val="Aptos"/>
      <family val="2"/>
    </font>
    <font>
      <b/>
      <sz val="11"/>
      <color theme="7" tint="-0.499984740745262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5"/>
      </bottom>
      <diagonal/>
    </border>
    <border>
      <left/>
      <right/>
      <top style="medium">
        <color theme="5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26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top"/>
    </xf>
    <xf numFmtId="0" fontId="0" fillId="0" borderId="2" xfId="0" applyBorder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3" fillId="0" borderId="1" xfId="0" applyFont="1" applyBorder="1" applyAlignment="1">
      <alignment horizontal="left" vertical="top"/>
    </xf>
    <xf numFmtId="14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9" fontId="3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top"/>
    </xf>
    <xf numFmtId="1" fontId="10" fillId="0" borderId="1" xfId="0" applyNumberFormat="1" applyFont="1" applyBorder="1" applyAlignment="1">
      <alignment horizontal="center" vertical="top"/>
    </xf>
    <xf numFmtId="1" fontId="11" fillId="0" borderId="1" xfId="0" applyNumberFormat="1" applyFont="1" applyBorder="1" applyAlignment="1">
      <alignment horizontal="center" vertical="top"/>
    </xf>
    <xf numFmtId="1" fontId="9" fillId="0" borderId="2" xfId="0" applyNumberFormat="1" applyFont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top"/>
    </xf>
    <xf numFmtId="1" fontId="9" fillId="5" borderId="2" xfId="0" applyNumberFormat="1" applyFont="1" applyFill="1" applyBorder="1" applyAlignment="1">
      <alignment horizontal="center" vertical="top"/>
    </xf>
    <xf numFmtId="9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6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center" vertical="center"/>
    </xf>
    <xf numFmtId="0" fontId="17" fillId="0" borderId="0" xfId="0" applyFont="1"/>
    <xf numFmtId="0" fontId="18" fillId="0" borderId="1" xfId="0" applyFont="1" applyBorder="1" applyAlignment="1">
      <alignment horizontal="center"/>
    </xf>
    <xf numFmtId="0" fontId="17" fillId="0" borderId="0" xfId="0" applyFont="1" applyAlignment="1">
      <alignment horizontal="left" vertical="center" indent="1"/>
    </xf>
    <xf numFmtId="164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17" fillId="0" borderId="0" xfId="1" applyFont="1" applyFill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left" vertical="center" indent="2"/>
    </xf>
    <xf numFmtId="0" fontId="16" fillId="6" borderId="0" xfId="0" applyFont="1" applyFill="1" applyAlignment="1">
      <alignment horizontal="center" vertical="center" wrapText="1"/>
    </xf>
    <xf numFmtId="0" fontId="18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right"/>
    </xf>
    <xf numFmtId="0" fontId="21" fillId="7" borderId="0" xfId="0" applyFont="1" applyFill="1" applyAlignment="1">
      <alignment vertical="center"/>
    </xf>
    <xf numFmtId="0" fontId="23" fillId="6" borderId="3" xfId="0" applyFont="1" applyFill="1" applyBorder="1" applyAlignment="1">
      <alignment vertical="center"/>
    </xf>
    <xf numFmtId="0" fontId="22" fillId="6" borderId="3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vertical="center"/>
    </xf>
    <xf numFmtId="0" fontId="15" fillId="9" borderId="0" xfId="0" applyFont="1" applyFill="1" applyAlignment="1">
      <alignment horizontal="right" vertical="center" indent="1"/>
    </xf>
    <xf numFmtId="0" fontId="15" fillId="10" borderId="0" xfId="0" applyFont="1" applyFill="1" applyAlignment="1">
      <alignment horizontal="left" vertical="center" indent="1"/>
    </xf>
    <xf numFmtId="0" fontId="14" fillId="9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right" vertical="center"/>
    </xf>
    <xf numFmtId="0" fontId="14" fillId="8" borderId="0" xfId="0" applyFont="1" applyFill="1" applyAlignment="1">
      <alignment horizontal="left" vertical="center" indent="1"/>
    </xf>
    <xf numFmtId="0" fontId="14" fillId="11" borderId="0" xfId="0" applyFont="1" applyFill="1" applyAlignment="1">
      <alignment horizontal="center" vertical="center"/>
    </xf>
    <xf numFmtId="14" fontId="14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indent="1"/>
    </xf>
    <xf numFmtId="0" fontId="3" fillId="3" borderId="1" xfId="0" applyFont="1" applyFill="1" applyBorder="1" applyAlignment="1">
      <alignment horizontal="left" vertical="top"/>
    </xf>
    <xf numFmtId="0" fontId="17" fillId="5" borderId="0" xfId="0" applyFont="1" applyFill="1" applyAlignment="1">
      <alignment horizontal="left" indent="1"/>
    </xf>
    <xf numFmtId="0" fontId="17" fillId="5" borderId="0" xfId="0" applyFont="1" applyFill="1" applyAlignment="1">
      <alignment horizontal="left" vertical="center" indent="1"/>
    </xf>
    <xf numFmtId="0" fontId="17" fillId="0" borderId="0" xfId="0" applyFont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17" fillId="4" borderId="0" xfId="0" applyFont="1" applyFill="1" applyAlignment="1">
      <alignment horizontal="left" vertical="center"/>
    </xf>
    <xf numFmtId="164" fontId="17" fillId="4" borderId="0" xfId="0" applyNumberFormat="1" applyFont="1" applyFill="1" applyAlignment="1">
      <alignment horizontal="center" vertical="center"/>
    </xf>
    <xf numFmtId="14" fontId="17" fillId="4" borderId="0" xfId="0" applyNumberFormat="1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9" fontId="17" fillId="4" borderId="0" xfId="1" applyFont="1" applyFill="1" applyAlignment="1">
      <alignment horizontal="center" vertical="center"/>
    </xf>
    <xf numFmtId="0" fontId="17" fillId="4" borderId="0" xfId="0" applyFont="1" applyFill="1" applyAlignment="1">
      <alignment horizontal="left" indent="1"/>
    </xf>
    <xf numFmtId="164" fontId="14" fillId="0" borderId="0" xfId="0" applyNumberFormat="1" applyFont="1" applyAlignment="1">
      <alignment vertical="center"/>
    </xf>
    <xf numFmtId="9" fontId="14" fillId="0" borderId="0" xfId="1" applyFont="1" applyAlignment="1">
      <alignment vertical="center"/>
    </xf>
    <xf numFmtId="0" fontId="17" fillId="5" borderId="0" xfId="0" applyFont="1" applyFill="1" applyAlignment="1">
      <alignment horizontal="left" vertical="center"/>
    </xf>
    <xf numFmtId="14" fontId="17" fillId="5" borderId="0" xfId="0" applyNumberFormat="1" applyFont="1" applyFill="1" applyAlignment="1">
      <alignment horizontal="center" vertical="center"/>
    </xf>
    <xf numFmtId="9" fontId="17" fillId="5" borderId="0" xfId="1" applyFont="1" applyFill="1" applyAlignment="1">
      <alignment horizontal="center" vertical="center"/>
    </xf>
    <xf numFmtId="0" fontId="17" fillId="12" borderId="1" xfId="0" applyFont="1" applyFill="1" applyBorder="1"/>
    <xf numFmtId="0" fontId="17" fillId="13" borderId="1" xfId="0" applyFont="1" applyFill="1" applyBorder="1"/>
    <xf numFmtId="0" fontId="17" fillId="4" borderId="1" xfId="0" applyFont="1" applyFill="1" applyBorder="1"/>
    <xf numFmtId="0" fontId="17" fillId="4" borderId="0" xfId="0" applyFont="1" applyFill="1"/>
    <xf numFmtId="14" fontId="18" fillId="4" borderId="0" xfId="0" applyNumberFormat="1" applyFont="1" applyFill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14" fontId="18" fillId="0" borderId="0" xfId="0" applyNumberFormat="1" applyFont="1" applyAlignment="1">
      <alignment horizontal="center" vertical="center"/>
    </xf>
    <xf numFmtId="9" fontId="17" fillId="0" borderId="0" xfId="1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6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center"/>
    </xf>
    <xf numFmtId="164" fontId="17" fillId="5" borderId="0" xfId="0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8" fillId="6" borderId="3" xfId="0" applyFont="1" applyFill="1" applyBorder="1" applyAlignment="1">
      <alignment horizontal="left" vertical="center" indent="1"/>
    </xf>
    <xf numFmtId="0" fontId="29" fillId="6" borderId="0" xfId="0" applyFont="1" applyFill="1" applyAlignment="1">
      <alignment horizontal="left" vertical="center" indent="1"/>
    </xf>
    <xf numFmtId="0" fontId="14" fillId="0" borderId="0" xfId="0" applyFont="1"/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/>
    </xf>
    <xf numFmtId="0" fontId="31" fillId="14" borderId="0" xfId="0" applyFont="1" applyFill="1" applyAlignment="1">
      <alignment horizontal="center"/>
    </xf>
    <xf numFmtId="0" fontId="22" fillId="8" borderId="0" xfId="0" applyFont="1" applyFill="1" applyAlignment="1">
      <alignment horizontal="left" vertical="center" indent="1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9" fontId="24" fillId="8" borderId="0" xfId="1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</cellXfs>
  <cellStyles count="2">
    <cellStyle name="一般" xfId="0" builtinId="0"/>
    <cellStyle name="百分比" xfId="1" builtinId="5"/>
  </cellStyles>
  <dxfs count="42"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7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7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7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7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7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7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m/d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7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7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7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m/d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C79FE-1D4E-4D76-A889-63195D74A40F}" name="表格3" displayName="表格3" ref="A9:L40" totalsRowShown="0" headerRowDxfId="41" dataDxfId="40">
  <autoFilter ref="A9:L40" xr:uid="{BB3C79FE-1D4E-4D76-A889-63195D74A40F}"/>
  <tableColumns count="12">
    <tableColumn id="1" xr3:uid="{CC805884-3EAB-4778-96C9-23393B3D9D02}" name="SPRINT" dataDxfId="39"/>
    <tableColumn id="2" xr3:uid="{6EA4E38E-F3BB-4676-9B06-4D4E36D4A311}" name="EPIC" dataDxfId="38"/>
    <tableColumn id="3" xr3:uid="{D48CBEF5-D66F-479D-A7DA-839D9F7DF12D}" name="FEATURE" dataDxfId="37"/>
    <tableColumn id="4" xr3:uid="{49899C85-BC82-4EF7-916F-78A18E1E60FB}" name="TASKS" dataDxfId="36"/>
    <tableColumn id="5" xr3:uid="{C3C21E87-EA53-4D72-A6AF-582BD42D27D3}" name="STORIES" dataDxfId="35"/>
    <tableColumn id="6" xr3:uid="{71311F97-A7C5-45E2-89F9-ED8CAFCC2E8D}" name="Difficulty Level" dataDxfId="34"/>
    <tableColumn id="7" xr3:uid="{30B51231-1E44-4B9A-A288-2A8FE366BE4A}" name="RESPONSIBLE" dataDxfId="33"/>
    <tableColumn id="8" xr3:uid="{563D9FEF-D996-4E1B-9D33-75AA2B6C5847}" name="Man Day Required" dataDxfId="32"/>
    <tableColumn id="9" xr3:uid="{C60CFA17-B81C-4F1E-85CE-A5B605636E4B}" name="START" dataDxfId="31"/>
    <tableColumn id="10" xr3:uid="{7150CE34-E64D-40B9-953E-E4A38640004E}" name="FINISH" dataDxfId="30"/>
    <tableColumn id="11" xr3:uid="{B1A60D08-9730-442B-BE7B-5273199D5441}" name="DURATION" dataDxfId="29"/>
    <tableColumn id="12" xr3:uid="{CF2C9876-569D-44DB-9533-33D20C0621D6}" name="STATUS" dataDxfId="28" dataCellStyle="百分比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1C68B-CF5A-4487-B820-AEAF7ED130AF}" name="表格1_32" displayName="表格1_32" ref="A1:N48" totalsRowShown="0" headerRowDxfId="27" dataDxfId="26">
  <autoFilter ref="A1:N48" xr:uid="{711F725E-BDA0-4BC8-84D9-CE6ED763BDD9}"/>
  <sortState xmlns:xlrd2="http://schemas.microsoft.com/office/spreadsheetml/2017/richdata2" ref="A2:N48">
    <sortCondition ref="H1:H48"/>
  </sortState>
  <tableColumns count="14">
    <tableColumn id="1" xr3:uid="{753B9718-9D2E-401C-BAB7-C663542613BB}" name="App" dataDxfId="25"/>
    <tableColumn id="2" xr3:uid="{861DF1A0-0A0C-43E0-B62D-171ABD7312BF}" name="Module" dataDxfId="24"/>
    <tableColumn id="15" xr3:uid="{BEFEA36C-FB0B-412B-8CA6-06FFAF43806C}" name="Code" dataDxfId="23"/>
    <tableColumn id="14" xr3:uid="{7E8AF1A4-EEB2-40EE-9D2B-9D9AA0B93EB0}" name="Chinese Name" dataDxfId="22"/>
    <tableColumn id="3" xr3:uid="{86F9292B-B55A-4C0F-8AFE-B69D6B05D2A9}" name="Features" dataDxfId="21"/>
    <tableColumn id="16" xr3:uid="{A16A6CDE-5BFF-4799-AF10-B78FFF9B1378}" name="Detailed req est. " dataDxfId="20"/>
    <tableColumn id="17" xr3:uid="{2FD51CB7-827B-4574-AFE4-6AAC83557C7E}" name="Dev + Unit test est." dataDxfId="19"/>
    <tableColumn id="4" xr3:uid="{95D1C59C-61E2-49D7-8CF5-C36A3DCE74CE}" name="Detailed req est. 2" dataDxfId="18"/>
    <tableColumn id="5" xr3:uid="{165128EB-36F5-46FD-9B3B-2756B79FEECA}" name="Dev + Unit test est.3" dataDxfId="17"/>
    <tableColumn id="18" xr3:uid="{65E1B9BF-8752-4850-AF6D-CA3564A7EBFD}" name="Full Time Estimate(%)" dataDxfId="16"/>
    <tableColumn id="6" xr3:uid="{25D7A782-1630-4E76-9F3C-FBB9843157D0}" name="Status"/>
    <tableColumn id="7" xr3:uid="{382F70BC-7499-4B36-BCA1-B032535B6629}" name="Req ETA" dataDxfId="15"/>
    <tableColumn id="8" xr3:uid="{5722AC46-6E91-4594-86E9-20C4086A04F6}" name=" DEV ETA" dataDxfId="14">
      <calculatedColumnFormula>WORKDAY(表格1_32[[#This Row],[Req ETA]],表格1_32[[#This Row],[Dev + Unit test est.]]/表格1_32[[#This Row],[Full Time Estimate(%)]])</calculatedColumnFormula>
    </tableColumn>
    <tableColumn id="9" xr3:uid="{6AA46AB9-FEED-4BF5-A091-ED2BC8D5F41F}" name="UAT ETA" dataDxfId="13">
      <calculatedColumnFormula>M2+14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AFBDAD-9694-409A-B935-2B9524EAB5FE}" name="表格1_3" displayName="表格1_3" ref="A1:K46" totalsRowShown="0" headerRowDxfId="12" dataDxfId="11">
  <autoFilter ref="A1:K46" xr:uid="{711F725E-BDA0-4BC8-84D9-CE6ED763BDD9}"/>
  <sortState xmlns:xlrd2="http://schemas.microsoft.com/office/spreadsheetml/2017/richdata2" ref="A2:K46">
    <sortCondition ref="F1:F46"/>
  </sortState>
  <tableColumns count="11">
    <tableColumn id="1" xr3:uid="{E20417D6-AABC-4CB1-8304-5B846190A1E6}" name="App" dataDxfId="10"/>
    <tableColumn id="2" xr3:uid="{EB66BE12-9F3D-4E68-A6C5-EFFA312DEA49}" name="Module" dataDxfId="9"/>
    <tableColumn id="3" xr3:uid="{0983F621-D673-4D3B-B069-BCE5251586E7}" name="Features" dataDxfId="8"/>
    <tableColumn id="12" xr3:uid="{103043EA-1FBA-4C0F-868B-CF93D488469C}" name="BA" dataDxfId="7"/>
    <tableColumn id="10" xr3:uid="{CE75682E-9892-497B-9E6E-6D8EBE2E5EDE}" name="Mandate" dataDxfId="6"/>
    <tableColumn id="4" xr3:uid="{70E43023-6559-4949-BD60-25985075DC21}" name="Detailed req est. " dataDxfId="5"/>
    <tableColumn id="5" xr3:uid="{E53ECE41-1BE6-4A79-9B09-85807276F432}" name="Dev + Unit test est." dataDxfId="4"/>
    <tableColumn id="6" xr3:uid="{51B782EA-F3F8-474F-A82C-F0FAC2D2050B}" name="Status"/>
    <tableColumn id="7" xr3:uid="{FFCE0A3E-36F6-47C9-A190-FE37D49C8DC4}" name="Req ETA" dataDxfId="3"/>
    <tableColumn id="8" xr3:uid="{70884BC2-5D6F-4BB7-8572-91EFA8BBFECD}" name=" DEV ETA" dataDxfId="2">
      <calculatedColumnFormula>G2+7</calculatedColumnFormula>
    </tableColumn>
    <tableColumn id="9" xr3:uid="{B263C3D8-DD8F-4259-811C-6D780D946A25}" name="UAT ETA" dataDxfId="1">
      <calculatedColumnFormula>J2+14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8495-23D4-471B-8BD4-B4A56465BB14}">
  <dimension ref="A1:F7"/>
  <sheetViews>
    <sheetView tabSelected="1" workbookViewId="0">
      <selection activeCell="A3" sqref="A1:XFD3"/>
    </sheetView>
  </sheetViews>
  <sheetFormatPr defaultRowHeight="15.75"/>
  <cols>
    <col min="1" max="1" width="14.28515625" bestFit="1" customWidth="1"/>
    <col min="2" max="2" width="17.28515625" customWidth="1"/>
    <col min="3" max="3" width="14" customWidth="1"/>
    <col min="4" max="4" width="29.28515625" customWidth="1"/>
  </cols>
  <sheetData>
    <row r="1" spans="1:6">
      <c r="A1" s="118" t="s">
        <v>0</v>
      </c>
      <c r="B1" s="118"/>
      <c r="C1" s="118"/>
      <c r="D1" s="118"/>
      <c r="E1" s="118"/>
    </row>
    <row r="2" spans="1:6">
      <c r="A2" s="108"/>
      <c r="B2" s="115" t="s">
        <v>1</v>
      </c>
      <c r="C2" s="115" t="s">
        <v>2</v>
      </c>
      <c r="D2" s="116" t="s">
        <v>3</v>
      </c>
      <c r="E2" s="115" t="s">
        <v>4</v>
      </c>
    </row>
    <row r="3" spans="1:6">
      <c r="A3" s="117" t="str" cm="1">
        <f t="array" ref="A3:A7">_xlfn.UNIQUE('Project Planning - B'!G11:G179)</f>
        <v>Patrick -BA</v>
      </c>
      <c r="B3" s="108">
        <v>1</v>
      </c>
      <c r="C3" s="108">
        <f>SUMIF('Project Planning - B'!G11:G179, A3,'Project Planning - B'!H11:H179)</f>
        <v>15</v>
      </c>
      <c r="D3" s="114" t="str">
        <f>TEXT(_xlfn.MINIFS('Project Planning - B'!$I$11:$I$180, 'Project Planning - B'!$G$11:$G$180, A3), "yyyy/mm/dd") &amp; " - " &amp; TEXT(_xlfn.MAXIFS('Project Planning - B'!$J$11:$J$180, 'Project Planning - B'!$G$11:$G$180, A3), "yyyy/mm/dd")</f>
        <v>2025/11/24 - 2026/01/12</v>
      </c>
      <c r="E3" s="108"/>
    </row>
    <row r="4" spans="1:6">
      <c r="A4" s="117" t="str">
        <v>Kent</v>
      </c>
      <c r="B4" s="108">
        <v>1</v>
      </c>
      <c r="C4" s="108">
        <f>SUMIF('Project Planning - B'!G11:G180, A4,'Project Planning - B'!H11:H180)</f>
        <v>67</v>
      </c>
      <c r="D4" s="114" t="str">
        <f>TEXT(_xlfn.MINIFS('Project Planning - B'!$I$11:$I$180, 'Project Planning - B'!$G$11:$G$180, A4), "yyyy/mm/dd") &amp; " - " &amp; TEXT(_xlfn.MAXIFS('Project Planning - B'!$J$11:$J$180, 'Project Planning - B'!$G$11:$G$180, A4), "yyyy/mm/dd")</f>
        <v>2025/12/12 - 2026/08/06</v>
      </c>
      <c r="E4" s="108">
        <v>0</v>
      </c>
    </row>
    <row r="5" spans="1:6">
      <c r="A5" s="117" t="str">
        <v>BA/Testing</v>
      </c>
      <c r="B5" s="108">
        <v>1</v>
      </c>
      <c r="C5" s="108">
        <f>SUMIF('Project Planning - B'!G11:G181, A5,'Project Planning - B'!H11:H181)</f>
        <v>136</v>
      </c>
      <c r="D5" s="114" t="str">
        <f>TEXT(_xlfn.MINIFS('Project Planning - B'!$I$11:$I$180, 'Project Planning - B'!$G$11:$G$180, A5), "yyyy/mm/dd") &amp; " - " &amp; TEXT(_xlfn.MAXIFS('Project Planning - B'!$J$11:$J$180, 'Project Planning - B'!$G$11:$G$180, A5), "yyyy/mm/dd")</f>
        <v>2025/12/31 - 2026/08/17</v>
      </c>
      <c r="E5" s="108">
        <v>0</v>
      </c>
    </row>
    <row r="6" spans="1:6">
      <c r="A6" s="117" t="str">
        <v>FrontEnd</v>
      </c>
      <c r="B6" s="108">
        <v>1</v>
      </c>
      <c r="C6" s="108">
        <f>SUMIF('Project Planning - B'!G11:G182, A6,'Project Planning - B'!H11:H182)</f>
        <v>58</v>
      </c>
      <c r="D6" s="114" t="str">
        <f>TEXT(_xlfn.MINIFS('Project Planning - B'!$I$11:$I$180, 'Project Planning - B'!$G$11:$G$180, A6), "yyyy/mm/dd") &amp; " - " &amp; TEXT(_xlfn.MAXIFS('Project Planning - B'!$J$11:$J$180, 'Project Planning - B'!$G$11:$G$180, A6), "yyyy/mm/dd")</f>
        <v>2025/12/24 - 2026/07/23</v>
      </c>
      <c r="E6" s="26"/>
    </row>
    <row r="7" spans="1:6">
      <c r="A7" s="117" t="str">
        <v>New AP Lead</v>
      </c>
      <c r="B7" s="108">
        <v>1</v>
      </c>
      <c r="C7" s="108">
        <f>SUMIF('Project Planning - B'!G11:G183, A7,'Project Planning - B'!H11:H183)</f>
        <v>72</v>
      </c>
      <c r="D7" s="114" t="str">
        <f>TEXT(_xlfn.MINIFS('Project Planning - B'!$I$11:$I$180, 'Project Planning - B'!$G$11:$G$180, A7), "yyyy/mm/dd") &amp; " - " &amp; TEXT(_xlfn.MAXIFS('Project Planning - B'!$J$11:$J$180, 'Project Planning - B'!$G$11:$G$180, A7), "yyyy/mm/dd")</f>
        <v>2026/01/21 - 2026/08/14</v>
      </c>
      <c r="E7" s="26"/>
      <c r="F7" s="107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93B5-1425-4980-B21E-AB2BDE5D66BA}">
  <sheetPr>
    <tabColor rgb="FF92D050"/>
  </sheetPr>
  <dimension ref="A1:U179"/>
  <sheetViews>
    <sheetView zoomScaleNormal="100" workbookViewId="0">
      <pane ySplit="10" topLeftCell="A26" activePane="bottomLeft" state="frozen"/>
      <selection pane="bottomLeft" activeCell="F26" sqref="F26"/>
    </sheetView>
  </sheetViews>
  <sheetFormatPr defaultColWidth="8.7109375" defaultRowHeight="15"/>
  <cols>
    <col min="1" max="1" width="12.85546875" style="49" customWidth="1"/>
    <col min="2" max="2" width="11.140625" style="49" customWidth="1"/>
    <col min="3" max="3" width="54.28515625" style="49" customWidth="1"/>
    <col min="4" max="4" width="15.28515625" style="49" customWidth="1"/>
    <col min="5" max="5" width="68.28515625" style="49" customWidth="1"/>
    <col min="6" max="6" width="16.5703125" style="113" customWidth="1"/>
    <col min="7" max="7" width="13.42578125" style="49" customWidth="1"/>
    <col min="8" max="8" width="12.85546875" style="49" customWidth="1"/>
    <col min="9" max="9" width="12" style="49" customWidth="1"/>
    <col min="10" max="10" width="13.42578125" style="49" customWidth="1"/>
    <col min="11" max="11" width="9.28515625" style="49" bestFit="1" customWidth="1"/>
    <col min="12" max="12" width="10.42578125" style="49" bestFit="1" customWidth="1"/>
    <col min="13" max="13" width="9.140625" style="49" bestFit="1" customWidth="1"/>
    <col min="14" max="14" width="13.42578125" style="49" bestFit="1" customWidth="1"/>
    <col min="15" max="15" width="11.28515625" style="49" customWidth="1"/>
    <col min="16" max="16" width="15.28515625" style="49" customWidth="1"/>
    <col min="17" max="17" width="20.7109375" style="49" customWidth="1"/>
    <col min="18" max="19" width="8.7109375" style="49"/>
    <col min="20" max="20" width="14.42578125" style="49" customWidth="1"/>
    <col min="21" max="21" width="12.85546875" style="49" customWidth="1"/>
    <col min="22" max="16384" width="8.7109375" style="49"/>
  </cols>
  <sheetData>
    <row r="1" spans="1:21" s="46" customFormat="1" ht="24" customHeight="1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  <c r="L1" s="119"/>
    </row>
    <row r="2" spans="1:21" s="46" customFormat="1" ht="5.25" customHeight="1" thickBot="1">
      <c r="B2" s="64"/>
      <c r="C2" s="65"/>
      <c r="D2" s="65"/>
      <c r="E2" s="65"/>
      <c r="F2" s="111"/>
      <c r="G2" s="65"/>
      <c r="H2" s="65"/>
      <c r="I2" s="65"/>
      <c r="J2" s="65"/>
      <c r="K2" s="65"/>
      <c r="L2" s="65"/>
      <c r="M2" s="66"/>
      <c r="N2" s="66"/>
      <c r="O2" s="66"/>
      <c r="P2" s="66"/>
    </row>
    <row r="3" spans="1:21" s="46" customFormat="1" ht="14.45" customHeight="1">
      <c r="B3" s="67" t="s">
        <v>6</v>
      </c>
      <c r="C3" s="68">
        <f>COUNTA(E11:E1048576)</f>
        <v>169</v>
      </c>
      <c r="D3" s="68"/>
      <c r="E3" s="45"/>
      <c r="F3" s="45"/>
      <c r="G3" s="69" t="s">
        <v>7</v>
      </c>
      <c r="H3" s="70">
        <f>H5-H4+1</f>
        <v>267</v>
      </c>
      <c r="I3" s="45"/>
      <c r="J3" s="120" t="s">
        <v>8</v>
      </c>
      <c r="K3" s="45"/>
    </row>
    <row r="4" spans="1:21" s="46" customFormat="1" ht="14.45" customHeight="1">
      <c r="B4" s="71" t="s">
        <v>9</v>
      </c>
      <c r="C4" s="72">
        <f>COUNTIF(L11:L1048576,B4)</f>
        <v>0</v>
      </c>
      <c r="D4" s="72"/>
      <c r="E4" s="45"/>
      <c r="F4" s="45"/>
      <c r="G4" s="73" t="s">
        <v>10</v>
      </c>
      <c r="H4" s="74">
        <f>MIN(I11:I1048576)</f>
        <v>45985</v>
      </c>
      <c r="I4" s="45"/>
      <c r="J4" s="121"/>
      <c r="K4" s="45"/>
      <c r="L4" s="89" t="e">
        <f>SUM(#REF!)</f>
        <v>#REF!</v>
      </c>
      <c r="N4" s="60" t="s">
        <v>11</v>
      </c>
      <c r="O4" s="50" t="s">
        <v>12</v>
      </c>
      <c r="P4" s="46" t="s">
        <v>13</v>
      </c>
      <c r="T4" s="106" t="s">
        <v>14</v>
      </c>
      <c r="U4" s="106" t="s">
        <v>15</v>
      </c>
    </row>
    <row r="5" spans="1:21" s="46" customFormat="1" ht="14.45" customHeight="1">
      <c r="B5" s="71" t="s">
        <v>16</v>
      </c>
      <c r="C5" s="72">
        <f>COUNTIF(L11:L1048576,B5)</f>
        <v>9</v>
      </c>
      <c r="D5" s="72"/>
      <c r="E5" s="45"/>
      <c r="F5" s="45"/>
      <c r="G5" s="73" t="s">
        <v>17</v>
      </c>
      <c r="H5" s="74">
        <f>MAX(J11:J1048576)</f>
        <v>46251</v>
      </c>
      <c r="I5" s="45"/>
      <c r="J5" s="122"/>
      <c r="K5" s="45"/>
      <c r="L5" s="89">
        <f>SUM(H11:H179)</f>
        <v>348</v>
      </c>
      <c r="N5" s="56" t="s">
        <v>18</v>
      </c>
      <c r="O5" s="57">
        <v>1</v>
      </c>
      <c r="Q5" s="46" t="s">
        <v>19</v>
      </c>
      <c r="T5" s="103" t="s">
        <v>20</v>
      </c>
      <c r="U5" s="104" t="s">
        <v>21</v>
      </c>
    </row>
    <row r="6" spans="1:21" s="46" customFormat="1" ht="14.45" customHeight="1">
      <c r="B6" s="71" t="s">
        <v>22</v>
      </c>
      <c r="C6" s="72">
        <f>COUNTIF(L11:L1048576,B6)</f>
        <v>160</v>
      </c>
      <c r="D6" s="72"/>
      <c r="E6" s="45"/>
      <c r="F6" s="45"/>
      <c r="G6" s="73"/>
      <c r="H6" s="75"/>
      <c r="I6" s="45"/>
      <c r="J6" s="122"/>
      <c r="K6" s="45"/>
      <c r="N6" s="94" t="s">
        <v>23</v>
      </c>
      <c r="O6" s="57">
        <v>1</v>
      </c>
      <c r="P6" s="99">
        <f>145000*1.05</f>
        <v>152250</v>
      </c>
      <c r="Q6" s="99">
        <f>P6*12</f>
        <v>1827000</v>
      </c>
      <c r="T6" s="103" t="s">
        <v>24</v>
      </c>
      <c r="U6" s="105" t="s">
        <v>25</v>
      </c>
    </row>
    <row r="7" spans="1:21" s="46" customFormat="1" ht="14.45" customHeight="1">
      <c r="B7" s="44"/>
      <c r="C7" s="44"/>
      <c r="D7" s="123" t="s">
        <v>26</v>
      </c>
      <c r="E7" s="124"/>
      <c r="F7" s="124"/>
      <c r="G7" s="123"/>
      <c r="H7" s="100" t="s">
        <v>27</v>
      </c>
      <c r="I7" s="45"/>
      <c r="J7" s="76">
        <f>1-J5</f>
        <v>1</v>
      </c>
      <c r="K7" s="45"/>
      <c r="L7" s="90"/>
      <c r="N7" s="96" t="s">
        <v>28</v>
      </c>
      <c r="O7" s="57">
        <v>1</v>
      </c>
      <c r="Q7" s="46" t="s">
        <v>29</v>
      </c>
      <c r="T7" s="103" t="s">
        <v>30</v>
      </c>
      <c r="U7" s="104" t="s">
        <v>31</v>
      </c>
    </row>
    <row r="8" spans="1:21" s="46" customFormat="1">
      <c r="B8" s="44"/>
      <c r="C8" s="44"/>
      <c r="D8" s="44"/>
      <c r="E8" s="45"/>
      <c r="F8" s="45"/>
      <c r="G8" s="45"/>
      <c r="H8" s="45"/>
      <c r="I8" s="45"/>
      <c r="J8" s="76"/>
      <c r="K8" s="45"/>
      <c r="L8" s="90"/>
      <c r="N8" s="94" t="s">
        <v>32</v>
      </c>
      <c r="O8" s="57">
        <v>1</v>
      </c>
      <c r="P8" s="99">
        <f>145000*1.05</f>
        <v>152250</v>
      </c>
      <c r="Q8" s="99">
        <f>P8*12</f>
        <v>1827000</v>
      </c>
      <c r="T8" s="45"/>
    </row>
    <row r="9" spans="1:21" s="46" customFormat="1" hidden="1">
      <c r="B9" s="44"/>
      <c r="C9" s="44"/>
      <c r="D9" s="44"/>
      <c r="E9" s="45"/>
      <c r="F9" s="45"/>
      <c r="G9" s="45"/>
      <c r="H9" s="45"/>
      <c r="I9" s="45"/>
      <c r="J9" s="76"/>
      <c r="K9" s="45"/>
      <c r="L9" s="90"/>
      <c r="N9" s="56" t="s">
        <v>33</v>
      </c>
      <c r="O9" s="57">
        <v>0.5</v>
      </c>
      <c r="T9" s="45"/>
    </row>
    <row r="10" spans="1:21" ht="25.5">
      <c r="A10" s="47" t="s">
        <v>34</v>
      </c>
      <c r="B10" s="47" t="s">
        <v>35</v>
      </c>
      <c r="C10" s="47" t="s">
        <v>36</v>
      </c>
      <c r="D10" s="47" t="s">
        <v>37</v>
      </c>
      <c r="E10" s="47" t="s">
        <v>38</v>
      </c>
      <c r="F10" s="112" t="s">
        <v>39</v>
      </c>
      <c r="G10" s="47" t="s">
        <v>40</v>
      </c>
      <c r="H10" s="59" t="s">
        <v>41</v>
      </c>
      <c r="I10" s="48" t="s">
        <v>10</v>
      </c>
      <c r="J10" s="48" t="s">
        <v>17</v>
      </c>
      <c r="K10" s="48" t="s">
        <v>7</v>
      </c>
      <c r="L10" s="48" t="s">
        <v>42</v>
      </c>
    </row>
    <row r="11" spans="1:21">
      <c r="A11" s="51" t="s">
        <v>43</v>
      </c>
      <c r="B11" s="81" t="s">
        <v>44</v>
      </c>
      <c r="C11" s="51" t="s">
        <v>45</v>
      </c>
      <c r="D11" s="51" t="s">
        <v>46</v>
      </c>
      <c r="E11" s="51" t="s">
        <v>47</v>
      </c>
      <c r="F11" s="45" t="s">
        <v>24</v>
      </c>
      <c r="G11" s="51" t="s">
        <v>48</v>
      </c>
      <c r="H11" s="52">
        <v>3</v>
      </c>
      <c r="I11" s="53">
        <v>45985</v>
      </c>
      <c r="J11" s="53">
        <f t="shared" ref="J11:J30" si="0">WORKDAY(I11,K11)</f>
        <v>45993</v>
      </c>
      <c r="K11" s="54">
        <f>H11/$O$9</f>
        <v>6</v>
      </c>
      <c r="L11" s="102" t="s">
        <v>16</v>
      </c>
    </row>
    <row r="12" spans="1:21">
      <c r="A12" s="51" t="s">
        <v>43</v>
      </c>
      <c r="B12" s="81" t="s">
        <v>44</v>
      </c>
      <c r="C12" s="51" t="s">
        <v>45</v>
      </c>
      <c r="D12" s="51" t="s">
        <v>46</v>
      </c>
      <c r="E12" s="51" t="s">
        <v>49</v>
      </c>
      <c r="F12" s="45" t="s">
        <v>24</v>
      </c>
      <c r="G12" s="51" t="s">
        <v>48</v>
      </c>
      <c r="H12" s="52">
        <v>3</v>
      </c>
      <c r="I12" s="53">
        <f>WORKDAY(J11,1)</f>
        <v>45994</v>
      </c>
      <c r="J12" s="53">
        <f t="shared" si="0"/>
        <v>46002</v>
      </c>
      <c r="K12" s="54">
        <f>H12/$O$9</f>
        <v>6</v>
      </c>
      <c r="L12" s="102" t="s">
        <v>16</v>
      </c>
    </row>
    <row r="13" spans="1:21">
      <c r="A13" s="51" t="s">
        <v>43</v>
      </c>
      <c r="B13" s="81" t="s">
        <v>44</v>
      </c>
      <c r="C13" s="51" t="s">
        <v>45</v>
      </c>
      <c r="D13" s="51" t="s">
        <v>50</v>
      </c>
      <c r="E13" s="51" t="s">
        <v>51</v>
      </c>
      <c r="F13" s="45" t="s">
        <v>24</v>
      </c>
      <c r="G13" s="51" t="s">
        <v>18</v>
      </c>
      <c r="H13" s="52">
        <v>3</v>
      </c>
      <c r="I13" s="53">
        <f>WORKDAY(J12,1)</f>
        <v>46003</v>
      </c>
      <c r="J13" s="53">
        <f t="shared" si="0"/>
        <v>46008</v>
      </c>
      <c r="K13" s="54">
        <f>H13/$O$5</f>
        <v>3</v>
      </c>
      <c r="L13" s="102" t="s">
        <v>16</v>
      </c>
    </row>
    <row r="14" spans="1:21">
      <c r="A14" s="51" t="s">
        <v>43</v>
      </c>
      <c r="B14" s="81" t="s">
        <v>44</v>
      </c>
      <c r="C14" s="51" t="s">
        <v>45</v>
      </c>
      <c r="D14" s="51" t="s">
        <v>50</v>
      </c>
      <c r="E14" s="51" t="s">
        <v>52</v>
      </c>
      <c r="F14" s="45" t="s">
        <v>30</v>
      </c>
      <c r="G14" s="51" t="s">
        <v>18</v>
      </c>
      <c r="H14" s="52">
        <v>5</v>
      </c>
      <c r="I14" s="53">
        <f>WORKDAY(J13,1)</f>
        <v>46009</v>
      </c>
      <c r="J14" s="53">
        <f t="shared" si="0"/>
        <v>46016</v>
      </c>
      <c r="K14" s="54">
        <f>H14/$O$5</f>
        <v>5</v>
      </c>
      <c r="L14" s="102" t="s">
        <v>22</v>
      </c>
    </row>
    <row r="15" spans="1:21">
      <c r="A15" s="51" t="s">
        <v>53</v>
      </c>
      <c r="B15" s="81" t="s">
        <v>44</v>
      </c>
      <c r="C15" s="51" t="s">
        <v>45</v>
      </c>
      <c r="D15" s="51" t="s">
        <v>50</v>
      </c>
      <c r="E15" s="51" t="s">
        <v>54</v>
      </c>
      <c r="F15" s="45" t="s">
        <v>20</v>
      </c>
      <c r="G15" s="51" t="s">
        <v>18</v>
      </c>
      <c r="H15" s="52">
        <v>2</v>
      </c>
      <c r="I15" s="53">
        <f>WORKDAY(J14,1)</f>
        <v>46017</v>
      </c>
      <c r="J15" s="53">
        <f t="shared" si="0"/>
        <v>46021</v>
      </c>
      <c r="K15" s="54">
        <f>H15/$O$5</f>
        <v>2</v>
      </c>
      <c r="L15" s="102" t="s">
        <v>22</v>
      </c>
    </row>
    <row r="16" spans="1:21">
      <c r="A16" s="51" t="s">
        <v>53</v>
      </c>
      <c r="B16" s="81" t="s">
        <v>44</v>
      </c>
      <c r="C16" s="51" t="s">
        <v>45</v>
      </c>
      <c r="D16" s="51" t="s">
        <v>55</v>
      </c>
      <c r="E16" s="51" t="s">
        <v>56</v>
      </c>
      <c r="F16" s="45" t="s">
        <v>24</v>
      </c>
      <c r="G16" s="51" t="s">
        <v>57</v>
      </c>
      <c r="H16" s="52">
        <v>3</v>
      </c>
      <c r="I16" s="53">
        <f>WORKDAY(J15,1)</f>
        <v>46022</v>
      </c>
      <c r="J16" s="53">
        <f t="shared" si="0"/>
        <v>46027</v>
      </c>
      <c r="K16" s="54">
        <f>H16/$O$5</f>
        <v>3</v>
      </c>
      <c r="L16" s="102" t="s">
        <v>22</v>
      </c>
    </row>
    <row r="17" spans="1:12">
      <c r="A17" s="51" t="s">
        <v>53</v>
      </c>
      <c r="B17" s="81" t="s">
        <v>44</v>
      </c>
      <c r="C17" s="51" t="s">
        <v>58</v>
      </c>
      <c r="D17" s="51" t="s">
        <v>46</v>
      </c>
      <c r="E17" s="51" t="s">
        <v>59</v>
      </c>
      <c r="F17" s="45" t="str" cm="1">
        <f t="array" ref="F17">_xlfn.IFS(H17="","", H17&lt;=2,"Low", H17&lt;=5,"Mid", H17&lt;=8,"High", TRUE,"Out of Range")</f>
        <v>Low</v>
      </c>
      <c r="G17" s="51" t="s">
        <v>48</v>
      </c>
      <c r="H17" s="52">
        <v>1.5</v>
      </c>
      <c r="I17" s="53">
        <f>WORKDAY(J12,1)</f>
        <v>46003</v>
      </c>
      <c r="J17" s="53">
        <f t="shared" si="0"/>
        <v>46008</v>
      </c>
      <c r="K17" s="54">
        <f>H17/$O$9</f>
        <v>3</v>
      </c>
      <c r="L17" s="102" t="s">
        <v>16</v>
      </c>
    </row>
    <row r="18" spans="1:12">
      <c r="A18" s="51" t="s">
        <v>53</v>
      </c>
      <c r="B18" s="81" t="s">
        <v>44</v>
      </c>
      <c r="C18" s="51" t="s">
        <v>58</v>
      </c>
      <c r="D18" s="51" t="s">
        <v>46</v>
      </c>
      <c r="E18" s="51" t="s">
        <v>60</v>
      </c>
      <c r="F18" s="45" t="str" cm="1">
        <f t="array" ref="F18">_xlfn.IFS(H18="","", H18&lt;=2,"Low", H18&lt;=5,"Mid", H18&lt;=8,"High", TRUE,"Out of Range")</f>
        <v>Low</v>
      </c>
      <c r="G18" s="51" t="s">
        <v>48</v>
      </c>
      <c r="H18" s="52">
        <v>1.5</v>
      </c>
      <c r="I18" s="53">
        <f>WORKDAY(J17,1)</f>
        <v>46009</v>
      </c>
      <c r="J18" s="53">
        <f t="shared" si="0"/>
        <v>46014</v>
      </c>
      <c r="K18" s="54">
        <f>H18/$O$9</f>
        <v>3</v>
      </c>
      <c r="L18" s="102" t="s">
        <v>16</v>
      </c>
    </row>
    <row r="19" spans="1:12">
      <c r="A19" s="51" t="s">
        <v>53</v>
      </c>
      <c r="B19" s="81" t="s">
        <v>44</v>
      </c>
      <c r="C19" s="51" t="s">
        <v>58</v>
      </c>
      <c r="D19" s="51" t="s">
        <v>50</v>
      </c>
      <c r="E19" s="51" t="s">
        <v>61</v>
      </c>
      <c r="F19" s="45" t="str" cm="1">
        <f t="array" ref="F19">_xlfn.IFS(H19="","", H19&lt;=2,"Low", H19&lt;=5,"Mid", H19&lt;=8,"High", TRUE,"Out of Range")</f>
        <v>Low</v>
      </c>
      <c r="G19" s="51" t="s">
        <v>62</v>
      </c>
      <c r="H19" s="52">
        <v>1</v>
      </c>
      <c r="I19" s="53">
        <f>WORKDAY(J18,1)</f>
        <v>46015</v>
      </c>
      <c r="J19" s="53">
        <f t="shared" si="0"/>
        <v>46016</v>
      </c>
      <c r="K19" s="54">
        <f>H19/$O$5</f>
        <v>1</v>
      </c>
      <c r="L19" s="102" t="s">
        <v>22</v>
      </c>
    </row>
    <row r="20" spans="1:12">
      <c r="A20" s="51" t="s">
        <v>63</v>
      </c>
      <c r="B20" s="81" t="s">
        <v>64</v>
      </c>
      <c r="C20" s="51" t="s">
        <v>58</v>
      </c>
      <c r="D20" s="51" t="s">
        <v>50</v>
      </c>
      <c r="E20" s="51" t="s">
        <v>65</v>
      </c>
      <c r="F20" s="45" t="str" cm="1">
        <f t="array" ref="F20">_xlfn.IFS(H20="","", H20&lt;=2,"Low", H20&lt;=5,"Mid", H20&lt;=8,"High", TRUE,"Out of Range")</f>
        <v>High</v>
      </c>
      <c r="G20" s="51" t="s">
        <v>18</v>
      </c>
      <c r="H20" s="52">
        <v>7</v>
      </c>
      <c r="I20" s="53">
        <f>WORKDAY(J15,1)</f>
        <v>46022</v>
      </c>
      <c r="J20" s="53">
        <f t="shared" si="0"/>
        <v>46031</v>
      </c>
      <c r="K20" s="54">
        <f>H20/$O$5</f>
        <v>7</v>
      </c>
      <c r="L20" s="102" t="s">
        <v>22</v>
      </c>
    </row>
    <row r="21" spans="1:12">
      <c r="A21" s="51" t="s">
        <v>63</v>
      </c>
      <c r="B21" s="81" t="s">
        <v>44</v>
      </c>
      <c r="C21" s="51" t="s">
        <v>58</v>
      </c>
      <c r="D21" s="51" t="s">
        <v>55</v>
      </c>
      <c r="E21" s="51" t="s">
        <v>66</v>
      </c>
      <c r="F21" s="45" t="str" cm="1">
        <f t="array" ref="F21">_xlfn.IFS(H21="","", H21&lt;=2,"Low", H21&lt;=5,"Mid", H21&lt;=8,"High", TRUE,"Out of Range")</f>
        <v>Mid</v>
      </c>
      <c r="G21" s="51" t="s">
        <v>57</v>
      </c>
      <c r="H21" s="52">
        <v>3</v>
      </c>
      <c r="I21" s="53">
        <f>WORKDAY(J20,1)</f>
        <v>46034</v>
      </c>
      <c r="J21" s="53">
        <f t="shared" si="0"/>
        <v>46037</v>
      </c>
      <c r="K21" s="54">
        <f>H21/$O$5</f>
        <v>3</v>
      </c>
      <c r="L21" s="102" t="s">
        <v>22</v>
      </c>
    </row>
    <row r="22" spans="1:12">
      <c r="A22" s="51" t="s">
        <v>63</v>
      </c>
      <c r="B22" s="81" t="s">
        <v>44</v>
      </c>
      <c r="C22" s="51" t="s">
        <v>67</v>
      </c>
      <c r="D22" s="51" t="s">
        <v>46</v>
      </c>
      <c r="E22" s="51" t="s">
        <v>68</v>
      </c>
      <c r="F22" s="45" t="str" cm="1">
        <f t="array" ref="F22">_xlfn.IFS(H22="","", H22&lt;=2,"Low", H22&lt;=5,"Mid", H22&lt;=8,"High", TRUE,"Out of Range")</f>
        <v>Low</v>
      </c>
      <c r="G22" s="51" t="s">
        <v>48</v>
      </c>
      <c r="H22" s="52">
        <v>1.5</v>
      </c>
      <c r="I22" s="53">
        <f>WORKDAY(J18,1)</f>
        <v>46015</v>
      </c>
      <c r="J22" s="53">
        <f t="shared" si="0"/>
        <v>46020</v>
      </c>
      <c r="K22" s="54">
        <f>H22/$O$9</f>
        <v>3</v>
      </c>
      <c r="L22" s="102" t="s">
        <v>16</v>
      </c>
    </row>
    <row r="23" spans="1:12">
      <c r="A23" s="51" t="s">
        <v>63</v>
      </c>
      <c r="B23" s="81" t="s">
        <v>44</v>
      </c>
      <c r="C23" s="51" t="s">
        <v>67</v>
      </c>
      <c r="D23" s="51" t="s">
        <v>46</v>
      </c>
      <c r="E23" s="51" t="s">
        <v>69</v>
      </c>
      <c r="F23" s="45" t="str" cm="1">
        <f t="array" ref="F23">_xlfn.IFS(H23="","", H23&lt;=2,"Low", H23&lt;=5,"Mid", H23&lt;=8,"High", TRUE,"Out of Range")</f>
        <v>Low</v>
      </c>
      <c r="G23" s="51" t="s">
        <v>48</v>
      </c>
      <c r="H23" s="52">
        <v>1.5</v>
      </c>
      <c r="I23" s="53">
        <f>WORKDAY(J19,1)</f>
        <v>46017</v>
      </c>
      <c r="J23" s="53">
        <f t="shared" si="0"/>
        <v>46022</v>
      </c>
      <c r="K23" s="54">
        <f>H23/$O$9</f>
        <v>3</v>
      </c>
      <c r="L23" s="102" t="s">
        <v>16</v>
      </c>
    </row>
    <row r="24" spans="1:12">
      <c r="A24" s="51" t="s">
        <v>70</v>
      </c>
      <c r="B24" s="81" t="s">
        <v>44</v>
      </c>
      <c r="C24" s="51" t="s">
        <v>67</v>
      </c>
      <c r="D24" s="51" t="s">
        <v>50</v>
      </c>
      <c r="E24" s="51" t="s">
        <v>71</v>
      </c>
      <c r="F24" s="45" t="str" cm="1">
        <f t="array" ref="F24">_xlfn.IFS(H24="","", H24&lt;=2,"Low", H24&lt;=5,"Mid", H24&lt;=8,"High", TRUE,"Out of Range")</f>
        <v>Mid</v>
      </c>
      <c r="G24" s="51" t="s">
        <v>62</v>
      </c>
      <c r="H24" s="52">
        <v>4</v>
      </c>
      <c r="I24" s="53">
        <f>WORKDAY(J23,1)</f>
        <v>46023</v>
      </c>
      <c r="J24" s="53">
        <f t="shared" si="0"/>
        <v>46029</v>
      </c>
      <c r="K24" s="54">
        <f>H24/$O$5</f>
        <v>4</v>
      </c>
      <c r="L24" s="102" t="s">
        <v>22</v>
      </c>
    </row>
    <row r="25" spans="1:12">
      <c r="A25" s="51" t="s">
        <v>70</v>
      </c>
      <c r="B25" s="81" t="s">
        <v>44</v>
      </c>
      <c r="C25" s="51" t="s">
        <v>67</v>
      </c>
      <c r="D25" s="51" t="s">
        <v>50</v>
      </c>
      <c r="E25" s="51" t="s">
        <v>72</v>
      </c>
      <c r="F25" s="45" t="str" cm="1">
        <f t="array" ref="F25">_xlfn.IFS(H25="","", H25&lt;=2,"Low", H25&lt;=5,"Mid", H25&lt;=8,"High", TRUE,"Out of Range")</f>
        <v>Mid</v>
      </c>
      <c r="G25" s="51" t="s">
        <v>18</v>
      </c>
      <c r="H25" s="52">
        <v>4</v>
      </c>
      <c r="I25" s="53">
        <f>WORKDAY(J20,1)</f>
        <v>46034</v>
      </c>
      <c r="J25" s="53">
        <f t="shared" si="0"/>
        <v>46038</v>
      </c>
      <c r="K25" s="54">
        <f>H25/$O$5</f>
        <v>4</v>
      </c>
      <c r="L25" s="102" t="s">
        <v>22</v>
      </c>
    </row>
    <row r="26" spans="1:12">
      <c r="A26" s="51" t="s">
        <v>73</v>
      </c>
      <c r="B26" s="81" t="s">
        <v>44</v>
      </c>
      <c r="C26" s="51" t="s">
        <v>67</v>
      </c>
      <c r="D26" s="51" t="s">
        <v>55</v>
      </c>
      <c r="E26" s="51" t="s">
        <v>74</v>
      </c>
      <c r="F26" s="45" t="str" cm="1">
        <f t="array" ref="F26">_xlfn.IFS(H26="","", H26&lt;=2,"Low", H26&lt;=5,"Mid", H26&lt;=8,"High", TRUE,"Out of Range")</f>
        <v>Low</v>
      </c>
      <c r="G26" s="51" t="s">
        <v>57</v>
      </c>
      <c r="H26" s="52">
        <v>2</v>
      </c>
      <c r="I26" s="53">
        <f>WORKDAY(J25,1)</f>
        <v>46041</v>
      </c>
      <c r="J26" s="53">
        <f t="shared" si="0"/>
        <v>46043</v>
      </c>
      <c r="K26" s="54">
        <f>H26/$O$5</f>
        <v>2</v>
      </c>
      <c r="L26" s="102" t="s">
        <v>22</v>
      </c>
    </row>
    <row r="27" spans="1:12">
      <c r="A27" s="51" t="s">
        <v>63</v>
      </c>
      <c r="B27" s="81" t="s">
        <v>44</v>
      </c>
      <c r="C27" s="51" t="s">
        <v>75</v>
      </c>
      <c r="D27" s="51" t="s">
        <v>46</v>
      </c>
      <c r="E27" s="51" t="s">
        <v>76</v>
      </c>
      <c r="F27" s="45" t="str" cm="1">
        <f t="array" ref="F27">_xlfn.IFS(H27="","", H27&lt;=2,"Low", H27&lt;=5,"Mid", H27&lt;=8,"High", TRUE,"Out of Range")</f>
        <v>Low</v>
      </c>
      <c r="G27" s="51" t="s">
        <v>48</v>
      </c>
      <c r="H27" s="52">
        <v>1.5</v>
      </c>
      <c r="I27" s="53">
        <f>WORKDAY(J23,1)</f>
        <v>46023</v>
      </c>
      <c r="J27" s="53">
        <f t="shared" si="0"/>
        <v>46028</v>
      </c>
      <c r="K27" s="54">
        <f>H27/$O$9</f>
        <v>3</v>
      </c>
      <c r="L27" s="102" t="s">
        <v>16</v>
      </c>
    </row>
    <row r="28" spans="1:12">
      <c r="A28" s="51" t="s">
        <v>63</v>
      </c>
      <c r="B28" s="81" t="s">
        <v>44</v>
      </c>
      <c r="C28" s="51" t="s">
        <v>75</v>
      </c>
      <c r="D28" s="51" t="s">
        <v>46</v>
      </c>
      <c r="E28" s="51" t="s">
        <v>77</v>
      </c>
      <c r="F28" s="45" t="str" cm="1">
        <f t="array" ref="F28">_xlfn.IFS(H28="","", H28&lt;=2,"Low", H28&lt;=5,"Mid", H28&lt;=8,"High", TRUE,"Out of Range")</f>
        <v>Low</v>
      </c>
      <c r="G28" s="51" t="s">
        <v>48</v>
      </c>
      <c r="H28" s="52">
        <v>1.5</v>
      </c>
      <c r="I28" s="53">
        <f>WORKDAY(J27,1)</f>
        <v>46029</v>
      </c>
      <c r="J28" s="53">
        <f t="shared" si="0"/>
        <v>46034</v>
      </c>
      <c r="K28" s="54">
        <f>H28/$O$9</f>
        <v>3</v>
      </c>
      <c r="L28" s="102" t="s">
        <v>16</v>
      </c>
    </row>
    <row r="29" spans="1:12">
      <c r="A29" s="51" t="s">
        <v>73</v>
      </c>
      <c r="B29" s="81" t="s">
        <v>44</v>
      </c>
      <c r="C29" s="51" t="s">
        <v>75</v>
      </c>
      <c r="D29" s="51" t="s">
        <v>50</v>
      </c>
      <c r="E29" s="51" t="s">
        <v>78</v>
      </c>
      <c r="F29" s="45" t="str" cm="1">
        <f t="array" ref="F29">_xlfn.IFS(H29="","", H29&lt;=2,"Low", H29&lt;=5,"Mid", H29&lt;=8,"High", TRUE,"Out of Range")</f>
        <v>Mid</v>
      </c>
      <c r="G29" s="51" t="s">
        <v>62</v>
      </c>
      <c r="H29" s="52">
        <v>4</v>
      </c>
      <c r="I29" s="53">
        <f>WORKDAY(J24,1)</f>
        <v>46030</v>
      </c>
      <c r="J29" s="53">
        <f t="shared" si="0"/>
        <v>46036</v>
      </c>
      <c r="K29" s="54">
        <f>H29/$O$5</f>
        <v>4</v>
      </c>
      <c r="L29" s="102" t="s">
        <v>22</v>
      </c>
    </row>
    <row r="30" spans="1:12">
      <c r="A30" s="51" t="s">
        <v>73</v>
      </c>
      <c r="B30" s="81" t="s">
        <v>44</v>
      </c>
      <c r="C30" s="51" t="s">
        <v>75</v>
      </c>
      <c r="D30" s="51" t="s">
        <v>50</v>
      </c>
      <c r="E30" s="51" t="s">
        <v>79</v>
      </c>
      <c r="F30" s="45" t="str" cm="1">
        <f t="array" ref="F30">_xlfn.IFS(H30="","", H30&lt;=2,"Low", H30&lt;=5,"Mid", H30&lt;=8,"High", TRUE,"Out of Range")</f>
        <v>Mid</v>
      </c>
      <c r="G30" s="51" t="s">
        <v>18</v>
      </c>
      <c r="H30" s="52">
        <v>4</v>
      </c>
      <c r="I30" s="53">
        <f>WORKDAY(J25,1)</f>
        <v>46041</v>
      </c>
      <c r="J30" s="53">
        <f t="shared" si="0"/>
        <v>46045</v>
      </c>
      <c r="K30" s="54">
        <f>H30/$O$5</f>
        <v>4</v>
      </c>
      <c r="L30" s="102" t="s">
        <v>22</v>
      </c>
    </row>
    <row r="31" spans="1:12">
      <c r="A31" s="82" t="s">
        <v>80</v>
      </c>
      <c r="B31" s="83" t="s">
        <v>44</v>
      </c>
      <c r="C31" s="82" t="s">
        <v>75</v>
      </c>
      <c r="D31" s="51" t="s">
        <v>55</v>
      </c>
      <c r="E31" s="82" t="s">
        <v>81</v>
      </c>
      <c r="F31" s="45" t="str" cm="1">
        <f t="array" ref="F31">_xlfn.IFS(H31="","", H31&lt;=2,"Low", H31&lt;=5,"Mid", H31&lt;=8,"High", TRUE,"Out of Range")</f>
        <v>Low</v>
      </c>
      <c r="G31" s="51" t="s">
        <v>57</v>
      </c>
      <c r="H31" s="84">
        <v>1</v>
      </c>
      <c r="I31" s="85">
        <f>WORKDAY(J30,1)</f>
        <v>46048</v>
      </c>
      <c r="J31" s="85">
        <v>46048</v>
      </c>
      <c r="K31" s="54">
        <v>1</v>
      </c>
      <c r="L31" s="87" t="s">
        <v>22</v>
      </c>
    </row>
    <row r="32" spans="1:12">
      <c r="A32" s="51" t="s">
        <v>43</v>
      </c>
      <c r="B32" s="81" t="s">
        <v>82</v>
      </c>
      <c r="C32" s="51" t="s">
        <v>45</v>
      </c>
      <c r="D32" s="51" t="s">
        <v>46</v>
      </c>
      <c r="E32" s="51" t="s">
        <v>83</v>
      </c>
      <c r="F32" s="45" t="str" cm="1">
        <f t="array" ref="F32">_xlfn.IFS(H32="","", H32&lt;=2,"Low", H32&lt;=5,"Mid", H32&lt;=8,"High", TRUE,"Out of Range")</f>
        <v>Mid</v>
      </c>
      <c r="G32" s="51" t="s">
        <v>57</v>
      </c>
      <c r="H32" s="52">
        <v>3</v>
      </c>
      <c r="I32" s="53">
        <v>46035</v>
      </c>
      <c r="J32" s="53">
        <v>46037</v>
      </c>
      <c r="K32" s="54">
        <f>H32/$O$6</f>
        <v>3</v>
      </c>
      <c r="L32" s="102" t="s">
        <v>22</v>
      </c>
    </row>
    <row r="33" spans="1:12">
      <c r="A33" s="51" t="s">
        <v>53</v>
      </c>
      <c r="B33" s="81" t="s">
        <v>84</v>
      </c>
      <c r="C33" s="51" t="s">
        <v>45</v>
      </c>
      <c r="D33" s="51" t="s">
        <v>46</v>
      </c>
      <c r="E33" s="51" t="s">
        <v>85</v>
      </c>
      <c r="F33" s="45" t="str" cm="1">
        <f t="array" ref="F33">_xlfn.IFS(H33="","", H33&lt;=2,"Low", H33&lt;=5,"Mid", H33&lt;=8,"High", TRUE,"Out of Range")</f>
        <v>Mid</v>
      </c>
      <c r="G33" s="51" t="s">
        <v>57</v>
      </c>
      <c r="H33" s="52">
        <v>3</v>
      </c>
      <c r="I33" s="53">
        <v>46038</v>
      </c>
      <c r="J33" s="53">
        <v>46042</v>
      </c>
      <c r="K33" s="54">
        <f>H33/$O$6</f>
        <v>3</v>
      </c>
      <c r="L33" s="102" t="s">
        <v>22</v>
      </c>
    </row>
    <row r="34" spans="1:12">
      <c r="A34" s="51" t="s">
        <v>53</v>
      </c>
      <c r="B34" s="81" t="s">
        <v>84</v>
      </c>
      <c r="C34" s="51" t="s">
        <v>45</v>
      </c>
      <c r="D34" s="51" t="s">
        <v>50</v>
      </c>
      <c r="E34" s="51" t="s">
        <v>51</v>
      </c>
      <c r="F34" s="45" t="str" cm="1">
        <f t="array" ref="F34">_xlfn.IFS(H34="","", H34&lt;=2,"Low", H34&lt;=5,"Mid", H34&lt;=8,"High", TRUE,"Out of Range")</f>
        <v>Mid</v>
      </c>
      <c r="G34" s="51" t="s">
        <v>86</v>
      </c>
      <c r="H34" s="52">
        <v>4</v>
      </c>
      <c r="I34" s="53">
        <v>46043</v>
      </c>
      <c r="J34" s="53">
        <v>46048</v>
      </c>
      <c r="K34" s="54">
        <f>H34/$O$7</f>
        <v>4</v>
      </c>
      <c r="L34" s="102" t="s">
        <v>22</v>
      </c>
    </row>
    <row r="35" spans="1:12">
      <c r="A35" s="51" t="s">
        <v>63</v>
      </c>
      <c r="B35" s="81" t="s">
        <v>84</v>
      </c>
      <c r="C35" s="51" t="s">
        <v>45</v>
      </c>
      <c r="D35" s="51" t="s">
        <v>50</v>
      </c>
      <c r="E35" s="51" t="s">
        <v>52</v>
      </c>
      <c r="F35" s="45" t="str" cm="1">
        <f t="array" ref="F35">_xlfn.IFS(H35="","", H35&lt;=2,"Low", H35&lt;=5,"Mid", H35&lt;=8,"High", TRUE,"Out of Range")</f>
        <v>Mid</v>
      </c>
      <c r="G35" s="51" t="s">
        <v>86</v>
      </c>
      <c r="H35" s="52">
        <v>4</v>
      </c>
      <c r="I35" s="53">
        <v>46049</v>
      </c>
      <c r="J35" s="53">
        <v>46052</v>
      </c>
      <c r="K35" s="54">
        <f>H35/$O$7</f>
        <v>4</v>
      </c>
      <c r="L35" s="102" t="s">
        <v>22</v>
      </c>
    </row>
    <row r="36" spans="1:12">
      <c r="A36" s="51" t="s">
        <v>70</v>
      </c>
      <c r="B36" s="81" t="s">
        <v>84</v>
      </c>
      <c r="C36" s="51" t="s">
        <v>45</v>
      </c>
      <c r="D36" s="51" t="s">
        <v>50</v>
      </c>
      <c r="E36" s="51" t="s">
        <v>54</v>
      </c>
      <c r="F36" s="45" t="str" cm="1">
        <f t="array" ref="F36">_xlfn.IFS(H36="","", H36&lt;=2,"Low", H36&lt;=5,"Mid", H36&lt;=8,"High", TRUE,"Out of Range")</f>
        <v>Low</v>
      </c>
      <c r="G36" s="51" t="s">
        <v>86</v>
      </c>
      <c r="H36" s="52">
        <v>2</v>
      </c>
      <c r="I36" s="53">
        <v>46055</v>
      </c>
      <c r="J36" s="53">
        <v>46056</v>
      </c>
      <c r="K36" s="54">
        <f>H36/$O$7</f>
        <v>2</v>
      </c>
      <c r="L36" s="102" t="s">
        <v>22</v>
      </c>
    </row>
    <row r="37" spans="1:12">
      <c r="A37" s="51" t="s">
        <v>73</v>
      </c>
      <c r="B37" s="81" t="s">
        <v>84</v>
      </c>
      <c r="C37" s="51" t="s">
        <v>45</v>
      </c>
      <c r="D37" s="51" t="s">
        <v>55</v>
      </c>
      <c r="E37" s="51" t="s">
        <v>56</v>
      </c>
      <c r="F37" s="45" t="str" cm="1">
        <f t="array" ref="F37">_xlfn.IFS(H37="","", H37&lt;=2,"Low", H37&lt;=5,"Mid", H37&lt;=8,"High", TRUE,"Out of Range")</f>
        <v>Mid</v>
      </c>
      <c r="G37" s="51" t="s">
        <v>57</v>
      </c>
      <c r="H37" s="52">
        <v>3</v>
      </c>
      <c r="I37" s="53">
        <v>46057</v>
      </c>
      <c r="J37" s="53">
        <v>46059</v>
      </c>
      <c r="K37" s="54">
        <f>H37/$O$5</f>
        <v>3</v>
      </c>
      <c r="L37" s="102" t="s">
        <v>22</v>
      </c>
    </row>
    <row r="38" spans="1:12">
      <c r="A38" s="51" t="s">
        <v>70</v>
      </c>
      <c r="B38" s="81" t="s">
        <v>84</v>
      </c>
      <c r="C38" s="77" t="s">
        <v>87</v>
      </c>
      <c r="D38" s="51" t="s">
        <v>46</v>
      </c>
      <c r="E38" s="51" t="s">
        <v>88</v>
      </c>
      <c r="F38" s="45" t="str" cm="1">
        <f t="array" ref="F38">_xlfn.IFS(H38="","", H38&lt;=2,"Low", H38&lt;=5,"Mid", H38&lt;=8,"High", TRUE,"Out of Range")</f>
        <v>Low</v>
      </c>
      <c r="G38" s="51" t="s">
        <v>57</v>
      </c>
      <c r="H38" s="52">
        <v>2</v>
      </c>
      <c r="I38" s="53">
        <v>46043</v>
      </c>
      <c r="J38" s="53">
        <v>46044</v>
      </c>
      <c r="K38" s="54">
        <f>H38/$O$7</f>
        <v>2</v>
      </c>
      <c r="L38" s="102" t="s">
        <v>22</v>
      </c>
    </row>
    <row r="39" spans="1:12">
      <c r="A39" s="51" t="s">
        <v>70</v>
      </c>
      <c r="B39" s="81" t="s">
        <v>84</v>
      </c>
      <c r="C39" s="77" t="s">
        <v>87</v>
      </c>
      <c r="D39" s="51" t="s">
        <v>46</v>
      </c>
      <c r="E39" s="51" t="s">
        <v>89</v>
      </c>
      <c r="F39" s="45" t="str" cm="1">
        <f t="array" ref="F39">_xlfn.IFS(H39="","", H39&lt;=2,"Low", H39&lt;=5,"Mid", H39&lt;=8,"High", TRUE,"Out of Range")</f>
        <v>Low</v>
      </c>
      <c r="G39" s="51" t="s">
        <v>57</v>
      </c>
      <c r="H39" s="52">
        <v>2</v>
      </c>
      <c r="I39" s="53">
        <v>46045</v>
      </c>
      <c r="J39" s="53">
        <v>46045</v>
      </c>
      <c r="K39" s="54">
        <v>1</v>
      </c>
      <c r="L39" s="102" t="s">
        <v>22</v>
      </c>
    </row>
    <row r="40" spans="1:12">
      <c r="A40" s="51" t="s">
        <v>70</v>
      </c>
      <c r="B40" s="81" t="s">
        <v>84</v>
      </c>
      <c r="C40" s="77" t="s">
        <v>87</v>
      </c>
      <c r="D40" s="51" t="s">
        <v>50</v>
      </c>
      <c r="E40" s="51" t="s">
        <v>90</v>
      </c>
      <c r="F40" s="45" t="str" cm="1">
        <f t="array" ref="F40">_xlfn.IFS(H40="","", H40&lt;=2,"Low", H40&lt;=5,"Mid", H40&lt;=8,"High", TRUE,"Out of Range")</f>
        <v>Low</v>
      </c>
      <c r="G40" s="51" t="s">
        <v>62</v>
      </c>
      <c r="H40" s="52">
        <v>2</v>
      </c>
      <c r="I40" s="53">
        <v>46049</v>
      </c>
      <c r="J40" s="53">
        <v>46050</v>
      </c>
      <c r="K40" s="54">
        <f>H40/$O$8</f>
        <v>2</v>
      </c>
      <c r="L40" s="102" t="s">
        <v>22</v>
      </c>
    </row>
    <row r="41" spans="1:12">
      <c r="A41" s="51" t="s">
        <v>73</v>
      </c>
      <c r="B41" s="81" t="s">
        <v>84</v>
      </c>
      <c r="C41" s="77" t="s">
        <v>87</v>
      </c>
      <c r="D41" s="51" t="s">
        <v>50</v>
      </c>
      <c r="E41" s="51" t="s">
        <v>91</v>
      </c>
      <c r="F41" s="45" t="str" cm="1">
        <f t="array" ref="F41">_xlfn.IFS(H41="","", H41&lt;=2,"Low", H41&lt;=5,"Mid", H41&lt;=8,"High", TRUE,"Out of Range")</f>
        <v>High</v>
      </c>
      <c r="G41" s="51" t="s">
        <v>86</v>
      </c>
      <c r="H41" s="52">
        <v>8</v>
      </c>
      <c r="I41" s="53">
        <v>46057</v>
      </c>
      <c r="J41" s="53">
        <v>46066</v>
      </c>
      <c r="K41" s="54">
        <f>H41/$O$7</f>
        <v>8</v>
      </c>
      <c r="L41" s="102" t="s">
        <v>22</v>
      </c>
    </row>
    <row r="42" spans="1:12">
      <c r="A42" s="51" t="s">
        <v>73</v>
      </c>
      <c r="B42" s="81" t="s">
        <v>84</v>
      </c>
      <c r="C42" s="77" t="s">
        <v>87</v>
      </c>
      <c r="D42" s="51" t="s">
        <v>55</v>
      </c>
      <c r="E42" s="51" t="s">
        <v>92</v>
      </c>
      <c r="F42" s="45" t="str" cm="1">
        <f t="array" ref="F42">_xlfn.IFS(H42="","", H42&lt;=2,"Low", H42&lt;=5,"Mid", H42&lt;=8,"High", TRUE,"Out of Range")</f>
        <v>Low</v>
      </c>
      <c r="G42" s="51" t="s">
        <v>57</v>
      </c>
      <c r="H42" s="52">
        <v>2</v>
      </c>
      <c r="I42" s="53">
        <v>46076</v>
      </c>
      <c r="J42" s="53">
        <v>46077</v>
      </c>
      <c r="K42" s="54">
        <f>H42/$O$5</f>
        <v>2</v>
      </c>
      <c r="L42" s="102" t="s">
        <v>22</v>
      </c>
    </row>
    <row r="43" spans="1:12">
      <c r="A43" s="51" t="s">
        <v>80</v>
      </c>
      <c r="B43" s="81" t="s">
        <v>84</v>
      </c>
      <c r="C43" s="77" t="s">
        <v>93</v>
      </c>
      <c r="D43" s="51" t="s">
        <v>46</v>
      </c>
      <c r="E43" s="51" t="s">
        <v>94</v>
      </c>
      <c r="F43" s="45" t="str" cm="1">
        <f t="array" ref="F43">_xlfn.IFS(H43="","", H43&lt;=2,"Low", H43&lt;=5,"Mid", H43&lt;=8,"High", TRUE,"Out of Range")</f>
        <v>Low</v>
      </c>
      <c r="G43" s="51" t="s">
        <v>57</v>
      </c>
      <c r="H43" s="52">
        <v>2</v>
      </c>
      <c r="I43" s="53">
        <v>46049</v>
      </c>
      <c r="J43" s="53">
        <v>46050</v>
      </c>
      <c r="K43" s="54">
        <f>H43/$O$7</f>
        <v>2</v>
      </c>
      <c r="L43" s="102" t="s">
        <v>22</v>
      </c>
    </row>
    <row r="44" spans="1:12">
      <c r="A44" s="51" t="s">
        <v>80</v>
      </c>
      <c r="B44" s="81" t="s">
        <v>84</v>
      </c>
      <c r="C44" s="77" t="s">
        <v>93</v>
      </c>
      <c r="D44" s="51" t="s">
        <v>46</v>
      </c>
      <c r="E44" s="51" t="s">
        <v>95</v>
      </c>
      <c r="F44" s="45" t="str" cm="1">
        <f t="array" ref="F44">_xlfn.IFS(H44="","", H44&lt;=2,"Low", H44&lt;=5,"Mid", H44&lt;=8,"High", TRUE,"Out of Range")</f>
        <v>Low</v>
      </c>
      <c r="G44" s="51" t="s">
        <v>57</v>
      </c>
      <c r="H44" s="52">
        <v>2</v>
      </c>
      <c r="I44" s="53">
        <v>46051</v>
      </c>
      <c r="J44" s="53">
        <v>46052</v>
      </c>
      <c r="K44" s="54">
        <f>H44/$O$7</f>
        <v>2</v>
      </c>
      <c r="L44" s="102" t="s">
        <v>22</v>
      </c>
    </row>
    <row r="45" spans="1:12">
      <c r="A45" s="51" t="s">
        <v>80</v>
      </c>
      <c r="B45" s="81" t="s">
        <v>84</v>
      </c>
      <c r="C45" s="77" t="s">
        <v>93</v>
      </c>
      <c r="D45" s="51" t="s">
        <v>50</v>
      </c>
      <c r="E45" s="51" t="s">
        <v>96</v>
      </c>
      <c r="F45" s="45" t="str" cm="1">
        <f t="array" ref="F45">_xlfn.IFS(H45="","", H45&lt;=2,"Low", H45&lt;=5,"Mid", H45&lt;=8,"High", TRUE,"Out of Range")</f>
        <v>Low</v>
      </c>
      <c r="G45" s="51" t="s">
        <v>62</v>
      </c>
      <c r="H45" s="52">
        <v>2</v>
      </c>
      <c r="I45" s="53">
        <v>46055</v>
      </c>
      <c r="J45" s="53">
        <v>46056</v>
      </c>
      <c r="K45" s="54">
        <f>H45/$O$8</f>
        <v>2</v>
      </c>
      <c r="L45" s="102" t="s">
        <v>22</v>
      </c>
    </row>
    <row r="46" spans="1:12">
      <c r="A46" s="51" t="s">
        <v>97</v>
      </c>
      <c r="B46" s="81" t="s">
        <v>84</v>
      </c>
      <c r="C46" s="77" t="s">
        <v>93</v>
      </c>
      <c r="D46" s="51" t="s">
        <v>50</v>
      </c>
      <c r="E46" s="51" t="s">
        <v>98</v>
      </c>
      <c r="F46" s="45" t="str" cm="1">
        <f t="array" ref="F46">_xlfn.IFS(H46="","", H46&lt;=2,"Low", H46&lt;=5,"Mid", H46&lt;=8,"High", TRUE,"Out of Range")</f>
        <v>High</v>
      </c>
      <c r="G46" s="51" t="s">
        <v>99</v>
      </c>
      <c r="H46" s="52">
        <v>8</v>
      </c>
      <c r="I46" s="53">
        <v>46055</v>
      </c>
      <c r="J46" s="53">
        <v>46064</v>
      </c>
      <c r="K46" s="54">
        <f>H46/$O$7</f>
        <v>8</v>
      </c>
      <c r="L46" s="102" t="s">
        <v>22</v>
      </c>
    </row>
    <row r="47" spans="1:12">
      <c r="A47" s="51" t="s">
        <v>100</v>
      </c>
      <c r="B47" s="81" t="s">
        <v>84</v>
      </c>
      <c r="C47" s="77" t="s">
        <v>93</v>
      </c>
      <c r="D47" s="51" t="s">
        <v>55</v>
      </c>
      <c r="E47" s="51" t="s">
        <v>101</v>
      </c>
      <c r="F47" s="45" t="str" cm="1">
        <f t="array" ref="F47">_xlfn.IFS(H47="","", H47&lt;=2,"Low", H47&lt;=5,"Mid", H47&lt;=8,"High", TRUE,"Out of Range")</f>
        <v>Low</v>
      </c>
      <c r="G47" s="51" t="s">
        <v>57</v>
      </c>
      <c r="H47" s="52">
        <v>2</v>
      </c>
      <c r="I47" s="53">
        <v>46078</v>
      </c>
      <c r="J47" s="53">
        <v>46079</v>
      </c>
      <c r="K47" s="54">
        <f>H47/$O$5</f>
        <v>2</v>
      </c>
      <c r="L47" s="102" t="s">
        <v>22</v>
      </c>
    </row>
    <row r="48" spans="1:12">
      <c r="A48" s="51" t="s">
        <v>80</v>
      </c>
      <c r="B48" s="81" t="s">
        <v>84</v>
      </c>
      <c r="C48" s="77" t="s">
        <v>102</v>
      </c>
      <c r="D48" s="51" t="s">
        <v>46</v>
      </c>
      <c r="E48" s="51" t="s">
        <v>103</v>
      </c>
      <c r="F48" s="45" t="str" cm="1">
        <f t="array" ref="F48">_xlfn.IFS(H48="","", H48&lt;=2,"Low", H48&lt;=5,"Mid", H48&lt;=8,"High", TRUE,"Out of Range")</f>
        <v>Low</v>
      </c>
      <c r="G48" s="51" t="s">
        <v>57</v>
      </c>
      <c r="H48" s="52">
        <v>2</v>
      </c>
      <c r="I48" s="53">
        <v>46055</v>
      </c>
      <c r="J48" s="53">
        <v>46056</v>
      </c>
      <c r="K48" s="54">
        <f>H48/$O$5</f>
        <v>2</v>
      </c>
      <c r="L48" s="102" t="s">
        <v>22</v>
      </c>
    </row>
    <row r="49" spans="1:12">
      <c r="A49" s="51" t="s">
        <v>97</v>
      </c>
      <c r="B49" s="81" t="s">
        <v>84</v>
      </c>
      <c r="C49" s="77" t="s">
        <v>102</v>
      </c>
      <c r="D49" s="51" t="s">
        <v>46</v>
      </c>
      <c r="E49" s="51" t="s">
        <v>104</v>
      </c>
      <c r="F49" s="45" t="str" cm="1">
        <f t="array" ref="F49">_xlfn.IFS(H49="","", H49&lt;=2,"Low", H49&lt;=5,"Mid", H49&lt;=8,"High", TRUE,"Out of Range")</f>
        <v>Low</v>
      </c>
      <c r="G49" s="51" t="s">
        <v>57</v>
      </c>
      <c r="H49" s="52">
        <v>2</v>
      </c>
      <c r="I49" s="53">
        <v>46062</v>
      </c>
      <c r="J49" s="53">
        <v>46063</v>
      </c>
      <c r="K49" s="54">
        <f>H49/$O$5</f>
        <v>2</v>
      </c>
      <c r="L49" s="102" t="s">
        <v>22</v>
      </c>
    </row>
    <row r="50" spans="1:12">
      <c r="A50" s="51" t="s">
        <v>97</v>
      </c>
      <c r="B50" s="81" t="s">
        <v>84</v>
      </c>
      <c r="C50" s="77" t="s">
        <v>102</v>
      </c>
      <c r="D50" s="51" t="s">
        <v>50</v>
      </c>
      <c r="E50" s="51" t="s">
        <v>105</v>
      </c>
      <c r="F50" s="45" t="str" cm="1">
        <f t="array" ref="F50">_xlfn.IFS(H50="","", H50&lt;=2,"Low", H50&lt;=5,"Mid", H50&lt;=8,"High", TRUE,"Out of Range")</f>
        <v>Low</v>
      </c>
      <c r="G50" s="51" t="s">
        <v>62</v>
      </c>
      <c r="H50" s="52">
        <v>2</v>
      </c>
      <c r="I50" s="53">
        <v>46064</v>
      </c>
      <c r="J50" s="53">
        <v>46065</v>
      </c>
      <c r="K50" s="54">
        <f>H50/$O$8</f>
        <v>2</v>
      </c>
      <c r="L50" s="102" t="s">
        <v>22</v>
      </c>
    </row>
    <row r="51" spans="1:12">
      <c r="A51" s="51" t="s">
        <v>100</v>
      </c>
      <c r="B51" s="81" t="s">
        <v>84</v>
      </c>
      <c r="C51" s="77" t="s">
        <v>102</v>
      </c>
      <c r="D51" s="51" t="s">
        <v>50</v>
      </c>
      <c r="E51" s="51" t="s">
        <v>106</v>
      </c>
      <c r="F51" s="45" t="str" cm="1">
        <f t="array" ref="F51">_xlfn.IFS(H51="","", H51&lt;=2,"Low", H51&lt;=5,"Mid", H51&lt;=8,"High", TRUE,"Out of Range")</f>
        <v>High</v>
      </c>
      <c r="G51" s="51" t="s">
        <v>86</v>
      </c>
      <c r="H51" s="52">
        <v>8</v>
      </c>
      <c r="I51" s="53">
        <v>46076</v>
      </c>
      <c r="J51" s="53">
        <v>46085</v>
      </c>
      <c r="K51" s="54">
        <f>H51/$O$5</f>
        <v>8</v>
      </c>
      <c r="L51" s="102" t="s">
        <v>22</v>
      </c>
    </row>
    <row r="52" spans="1:12">
      <c r="A52" s="51" t="s">
        <v>107</v>
      </c>
      <c r="B52" s="81" t="s">
        <v>84</v>
      </c>
      <c r="C52" s="77" t="s">
        <v>102</v>
      </c>
      <c r="D52" s="51" t="s">
        <v>55</v>
      </c>
      <c r="E52" s="51" t="s">
        <v>108</v>
      </c>
      <c r="F52" s="45" t="str" cm="1">
        <f t="array" ref="F52">_xlfn.IFS(H52="","", H52&lt;=2,"Low", H52&lt;=5,"Mid", H52&lt;=8,"High", TRUE,"Out of Range")</f>
        <v>Low</v>
      </c>
      <c r="G52" s="51" t="s">
        <v>57</v>
      </c>
      <c r="H52" s="52">
        <v>2</v>
      </c>
      <c r="I52" s="53">
        <v>46086</v>
      </c>
      <c r="J52" s="53">
        <v>46087</v>
      </c>
      <c r="K52" s="54">
        <f>H52/$O$5</f>
        <v>2</v>
      </c>
      <c r="L52" s="102" t="s">
        <v>22</v>
      </c>
    </row>
    <row r="53" spans="1:12">
      <c r="A53" s="51" t="s">
        <v>107</v>
      </c>
      <c r="B53" s="81" t="s">
        <v>84</v>
      </c>
      <c r="C53" s="77" t="s">
        <v>109</v>
      </c>
      <c r="D53" s="51" t="s">
        <v>46</v>
      </c>
      <c r="E53" s="51" t="s">
        <v>110</v>
      </c>
      <c r="F53" s="45" t="str" cm="1">
        <f t="array" ref="F53">_xlfn.IFS(H53="","", H53&lt;=2,"Low", H53&lt;=5,"Mid", H53&lt;=8,"High", TRUE,"Out of Range")</f>
        <v>Low</v>
      </c>
      <c r="G53" s="51" t="s">
        <v>57</v>
      </c>
      <c r="H53" s="52">
        <v>1</v>
      </c>
      <c r="I53" s="53">
        <v>46080</v>
      </c>
      <c r="J53" s="53">
        <v>46080</v>
      </c>
      <c r="K53" s="54">
        <f>H53/$O$5</f>
        <v>1</v>
      </c>
      <c r="L53" s="102" t="s">
        <v>22</v>
      </c>
    </row>
    <row r="54" spans="1:12">
      <c r="A54" s="51" t="s">
        <v>107</v>
      </c>
      <c r="B54" s="81" t="s">
        <v>84</v>
      </c>
      <c r="C54" s="77" t="s">
        <v>109</v>
      </c>
      <c r="D54" s="51" t="s">
        <v>46</v>
      </c>
      <c r="E54" s="51" t="s">
        <v>111</v>
      </c>
      <c r="F54" s="45" t="str" cm="1">
        <f t="array" ref="F54">_xlfn.IFS(H54="","", H54&lt;=2,"Low", H54&lt;=5,"Mid", H54&lt;=8,"High", TRUE,"Out of Range")</f>
        <v>Low</v>
      </c>
      <c r="G54" s="51" t="s">
        <v>57</v>
      </c>
      <c r="H54" s="52">
        <v>2</v>
      </c>
      <c r="I54" s="53">
        <v>46083</v>
      </c>
      <c r="J54" s="53">
        <v>46084</v>
      </c>
      <c r="K54" s="54">
        <f>H54/$O$5</f>
        <v>2</v>
      </c>
      <c r="L54" s="102" t="s">
        <v>22</v>
      </c>
    </row>
    <row r="55" spans="1:12">
      <c r="A55" s="51" t="s">
        <v>107</v>
      </c>
      <c r="B55" s="81" t="s">
        <v>84</v>
      </c>
      <c r="C55" s="77" t="s">
        <v>109</v>
      </c>
      <c r="D55" s="51" t="s">
        <v>50</v>
      </c>
      <c r="E55" s="51" t="s">
        <v>112</v>
      </c>
      <c r="F55" s="45" t="str" cm="1">
        <f t="array" ref="F55">_xlfn.IFS(H55="","", H55&lt;=2,"Low", H55&lt;=5,"Mid", H55&lt;=8,"High", TRUE,"Out of Range")</f>
        <v>Low</v>
      </c>
      <c r="G55" s="51" t="s">
        <v>62</v>
      </c>
      <c r="H55" s="52">
        <v>1</v>
      </c>
      <c r="I55" s="53">
        <v>46085</v>
      </c>
      <c r="J55" s="53">
        <v>46085</v>
      </c>
      <c r="K55" s="54">
        <f>H55/$O$8</f>
        <v>1</v>
      </c>
      <c r="L55" s="102" t="s">
        <v>22</v>
      </c>
    </row>
    <row r="56" spans="1:12">
      <c r="A56" s="51" t="s">
        <v>113</v>
      </c>
      <c r="B56" s="81" t="s">
        <v>84</v>
      </c>
      <c r="C56" s="77" t="s">
        <v>109</v>
      </c>
      <c r="D56" s="51" t="s">
        <v>50</v>
      </c>
      <c r="E56" s="51" t="s">
        <v>114</v>
      </c>
      <c r="F56" s="45" t="str" cm="1">
        <f t="array" ref="F56">_xlfn.IFS(H56="","", H56&lt;=2,"Low", H56&lt;=5,"Mid", H56&lt;=8,"High", TRUE,"Out of Range")</f>
        <v>Mid</v>
      </c>
      <c r="G56" s="51" t="s">
        <v>18</v>
      </c>
      <c r="H56" s="52">
        <v>3</v>
      </c>
      <c r="I56" s="53">
        <v>46086</v>
      </c>
      <c r="J56" s="53">
        <v>46090</v>
      </c>
      <c r="K56" s="54">
        <f>H56/$O$5</f>
        <v>3</v>
      </c>
      <c r="L56" s="102" t="s">
        <v>22</v>
      </c>
    </row>
    <row r="57" spans="1:12">
      <c r="A57" s="51" t="s">
        <v>115</v>
      </c>
      <c r="B57" s="81" t="s">
        <v>84</v>
      </c>
      <c r="C57" s="77" t="s">
        <v>109</v>
      </c>
      <c r="D57" s="51" t="s">
        <v>55</v>
      </c>
      <c r="E57" s="51" t="s">
        <v>116</v>
      </c>
      <c r="F57" s="45" t="str" cm="1">
        <f t="array" ref="F57">_xlfn.IFS(H57="","", H57&lt;=2,"Low", H57&lt;=5,"Mid", H57&lt;=8,"High", TRUE,"Out of Range")</f>
        <v>Low</v>
      </c>
      <c r="G57" s="51" t="s">
        <v>57</v>
      </c>
      <c r="H57" s="52">
        <v>2</v>
      </c>
      <c r="I57" s="53">
        <v>46091</v>
      </c>
      <c r="J57" s="53">
        <v>46092</v>
      </c>
      <c r="K57" s="54">
        <f>H57/$O$5</f>
        <v>2</v>
      </c>
      <c r="L57" s="102" t="s">
        <v>22</v>
      </c>
    </row>
    <row r="58" spans="1:12">
      <c r="A58" s="51" t="s">
        <v>115</v>
      </c>
      <c r="B58" s="81" t="s">
        <v>84</v>
      </c>
      <c r="C58" s="77" t="s">
        <v>117</v>
      </c>
      <c r="D58" s="51" t="s">
        <v>46</v>
      </c>
      <c r="E58" s="51" t="s">
        <v>118</v>
      </c>
      <c r="F58" s="45" t="str" cm="1">
        <f t="array" ref="F58">_xlfn.IFS(H58="","", H58&lt;=2,"Low", H58&lt;=5,"Mid", H58&lt;=8,"High", TRUE,"Out of Range")</f>
        <v>Low</v>
      </c>
      <c r="G58" s="51" t="s">
        <v>57</v>
      </c>
      <c r="H58" s="52">
        <v>1</v>
      </c>
      <c r="I58" s="53">
        <v>46085</v>
      </c>
      <c r="J58" s="53">
        <v>46085</v>
      </c>
      <c r="K58" s="54">
        <f>H58/$O$5</f>
        <v>1</v>
      </c>
      <c r="L58" s="102" t="s">
        <v>22</v>
      </c>
    </row>
    <row r="59" spans="1:12">
      <c r="A59" s="51" t="s">
        <v>115</v>
      </c>
      <c r="B59" s="81" t="s">
        <v>84</v>
      </c>
      <c r="C59" s="77" t="s">
        <v>117</v>
      </c>
      <c r="D59" s="51" t="s">
        <v>46</v>
      </c>
      <c r="E59" s="51" t="s">
        <v>119</v>
      </c>
      <c r="F59" s="45" t="str" cm="1">
        <f t="array" ref="F59">_xlfn.IFS(H59="","", H59&lt;=2,"Low", H59&lt;=5,"Mid", H59&lt;=8,"High", TRUE,"Out of Range")</f>
        <v>Low</v>
      </c>
      <c r="G59" s="51" t="s">
        <v>57</v>
      </c>
      <c r="H59" s="52">
        <v>2</v>
      </c>
      <c r="I59" s="53">
        <v>46090</v>
      </c>
      <c r="J59" s="53">
        <v>46091</v>
      </c>
      <c r="K59" s="54">
        <f>H59/$O$5</f>
        <v>2</v>
      </c>
      <c r="L59" s="102" t="s">
        <v>22</v>
      </c>
    </row>
    <row r="60" spans="1:12">
      <c r="A60" s="51" t="s">
        <v>115</v>
      </c>
      <c r="B60" s="81" t="s">
        <v>84</v>
      </c>
      <c r="C60" s="77" t="s">
        <v>117</v>
      </c>
      <c r="D60" s="51" t="s">
        <v>50</v>
      </c>
      <c r="E60" s="51" t="s">
        <v>120</v>
      </c>
      <c r="F60" s="45" t="str" cm="1">
        <f t="array" ref="F60">_xlfn.IFS(H60="","", H60&lt;=2,"Low", H60&lt;=5,"Mid", H60&lt;=8,"High", TRUE,"Out of Range")</f>
        <v>Low</v>
      </c>
      <c r="G60" s="51" t="s">
        <v>62</v>
      </c>
      <c r="H60" s="52">
        <v>2</v>
      </c>
      <c r="I60" s="53">
        <v>46092</v>
      </c>
      <c r="J60" s="53">
        <v>46093</v>
      </c>
      <c r="K60" s="54">
        <f>H60/$O$8</f>
        <v>2</v>
      </c>
      <c r="L60" s="102" t="s">
        <v>22</v>
      </c>
    </row>
    <row r="61" spans="1:12">
      <c r="A61" s="51" t="s">
        <v>121</v>
      </c>
      <c r="B61" s="81" t="s">
        <v>84</v>
      </c>
      <c r="C61" s="77" t="s">
        <v>117</v>
      </c>
      <c r="D61" s="51" t="s">
        <v>50</v>
      </c>
      <c r="E61" s="51" t="s">
        <v>122</v>
      </c>
      <c r="F61" s="45" t="str" cm="1">
        <f t="array" ref="F61">_xlfn.IFS(H61="","", H61&lt;=2,"Low", H61&lt;=5,"Mid", H61&lt;=8,"High", TRUE,"Out of Range")</f>
        <v>Low</v>
      </c>
      <c r="G61" s="51" t="s">
        <v>86</v>
      </c>
      <c r="H61" s="52">
        <v>2</v>
      </c>
      <c r="I61" s="53">
        <v>46092</v>
      </c>
      <c r="J61" s="53">
        <v>46093</v>
      </c>
      <c r="K61" s="54">
        <f>H61/$O$5</f>
        <v>2</v>
      </c>
      <c r="L61" s="102" t="s">
        <v>22</v>
      </c>
    </row>
    <row r="62" spans="1:12">
      <c r="A62" s="51" t="s">
        <v>121</v>
      </c>
      <c r="B62" s="81" t="s">
        <v>84</v>
      </c>
      <c r="C62" s="77" t="s">
        <v>117</v>
      </c>
      <c r="D62" s="51" t="s">
        <v>55</v>
      </c>
      <c r="E62" s="51" t="s">
        <v>123</v>
      </c>
      <c r="F62" s="45" t="str" cm="1">
        <f t="array" ref="F62">_xlfn.IFS(H62="","", H62&lt;=2,"Low", H62&lt;=5,"Mid", H62&lt;=8,"High", TRUE,"Out of Range")</f>
        <v>Low</v>
      </c>
      <c r="G62" s="51" t="s">
        <v>57</v>
      </c>
      <c r="H62" s="52">
        <v>2</v>
      </c>
      <c r="I62" s="53">
        <v>46094</v>
      </c>
      <c r="J62" s="53">
        <v>46097</v>
      </c>
      <c r="K62" s="54">
        <f>H62/$O$5</f>
        <v>2</v>
      </c>
      <c r="L62" s="102" t="s">
        <v>22</v>
      </c>
    </row>
    <row r="63" spans="1:12">
      <c r="A63" s="51" t="s">
        <v>121</v>
      </c>
      <c r="B63" s="81" t="s">
        <v>84</v>
      </c>
      <c r="C63" s="77" t="s">
        <v>124</v>
      </c>
      <c r="D63" s="51" t="s">
        <v>46</v>
      </c>
      <c r="E63" s="51" t="s">
        <v>118</v>
      </c>
      <c r="F63" s="45" t="str" cm="1">
        <f t="array" ref="F63">_xlfn.IFS(H63="","", H63&lt;=2,"Low", H63&lt;=5,"Mid", H63&lt;=8,"High", TRUE,"Out of Range")</f>
        <v>Low</v>
      </c>
      <c r="G63" s="51" t="s">
        <v>57</v>
      </c>
      <c r="H63" s="52">
        <v>1</v>
      </c>
      <c r="I63" s="53">
        <v>46092</v>
      </c>
      <c r="J63" s="53">
        <v>46092</v>
      </c>
      <c r="K63" s="54">
        <f>H63/$O$5</f>
        <v>1</v>
      </c>
      <c r="L63" s="102" t="s">
        <v>22</v>
      </c>
    </row>
    <row r="64" spans="1:12">
      <c r="A64" s="51" t="s">
        <v>125</v>
      </c>
      <c r="B64" s="81" t="s">
        <v>84</v>
      </c>
      <c r="C64" s="77" t="s">
        <v>124</v>
      </c>
      <c r="D64" s="51" t="s">
        <v>46</v>
      </c>
      <c r="E64" s="51" t="s">
        <v>119</v>
      </c>
      <c r="F64" s="45" t="str" cm="1">
        <f t="array" ref="F64">_xlfn.IFS(H64="","", H64&lt;=2,"Low", H64&lt;=5,"Mid", H64&lt;=8,"High", TRUE,"Out of Range")</f>
        <v>Low</v>
      </c>
      <c r="G64" s="51" t="s">
        <v>57</v>
      </c>
      <c r="H64" s="52">
        <v>1</v>
      </c>
      <c r="I64" s="53">
        <v>46093</v>
      </c>
      <c r="J64" s="53">
        <v>46093</v>
      </c>
      <c r="K64" s="54">
        <f>H64/$O$5</f>
        <v>1</v>
      </c>
      <c r="L64" s="102" t="s">
        <v>22</v>
      </c>
    </row>
    <row r="65" spans="1:12">
      <c r="A65" s="51" t="s">
        <v>125</v>
      </c>
      <c r="B65" s="81" t="s">
        <v>84</v>
      </c>
      <c r="C65" s="77" t="s">
        <v>124</v>
      </c>
      <c r="D65" s="51" t="s">
        <v>50</v>
      </c>
      <c r="E65" s="51" t="s">
        <v>120</v>
      </c>
      <c r="F65" s="45" t="str" cm="1">
        <f t="array" ref="F65">_xlfn.IFS(H65="","", H65&lt;=2,"Low", H65&lt;=5,"Mid", H65&lt;=8,"High", TRUE,"Out of Range")</f>
        <v>Low</v>
      </c>
      <c r="G65" s="51" t="s">
        <v>62</v>
      </c>
      <c r="H65" s="52">
        <v>1</v>
      </c>
      <c r="I65" s="53">
        <v>46098</v>
      </c>
      <c r="J65" s="53">
        <v>46098</v>
      </c>
      <c r="K65" s="54">
        <f>H65/$O$8</f>
        <v>1</v>
      </c>
      <c r="L65" s="102" t="s">
        <v>22</v>
      </c>
    </row>
    <row r="66" spans="1:12">
      <c r="A66" s="51" t="s">
        <v>125</v>
      </c>
      <c r="B66" s="81" t="s">
        <v>84</v>
      </c>
      <c r="C66" s="77" t="s">
        <v>124</v>
      </c>
      <c r="D66" s="51" t="s">
        <v>50</v>
      </c>
      <c r="E66" s="51" t="s">
        <v>122</v>
      </c>
      <c r="F66" s="45" t="str" cm="1">
        <f t="array" ref="F66">_xlfn.IFS(H66="","", H66&lt;=2,"Low", H66&lt;=5,"Mid", H66&lt;=8,"High", TRUE,"Out of Range")</f>
        <v>Mid</v>
      </c>
      <c r="G66" s="51" t="s">
        <v>18</v>
      </c>
      <c r="H66" s="52">
        <v>3</v>
      </c>
      <c r="I66" s="53">
        <v>46098</v>
      </c>
      <c r="J66" s="53">
        <v>46100</v>
      </c>
      <c r="K66" s="54">
        <f>H66/$O$5</f>
        <v>3</v>
      </c>
      <c r="L66" s="102" t="s">
        <v>22</v>
      </c>
    </row>
    <row r="67" spans="1:12">
      <c r="A67" s="51" t="s">
        <v>125</v>
      </c>
      <c r="B67" s="81" t="s">
        <v>84</v>
      </c>
      <c r="C67" s="77" t="s">
        <v>124</v>
      </c>
      <c r="D67" s="51" t="s">
        <v>55</v>
      </c>
      <c r="E67" s="51" t="s">
        <v>123</v>
      </c>
      <c r="F67" s="45" t="str" cm="1">
        <f t="array" ref="F67">_xlfn.IFS(H67="","", H67&lt;=2,"Low", H67&lt;=5,"Mid", H67&lt;=8,"High", TRUE,"Out of Range")</f>
        <v>Low</v>
      </c>
      <c r="G67" s="51" t="s">
        <v>57</v>
      </c>
      <c r="H67" s="52">
        <v>1</v>
      </c>
      <c r="I67" s="53">
        <v>46101</v>
      </c>
      <c r="J67" s="53">
        <v>46101</v>
      </c>
      <c r="K67" s="54">
        <f>H67/$O$5</f>
        <v>1</v>
      </c>
      <c r="L67" s="102" t="s">
        <v>22</v>
      </c>
    </row>
    <row r="68" spans="1:12">
      <c r="A68" s="51" t="s">
        <v>73</v>
      </c>
      <c r="B68" s="81" t="s">
        <v>84</v>
      </c>
      <c r="C68" s="51" t="s">
        <v>126</v>
      </c>
      <c r="D68" s="51" t="s">
        <v>46</v>
      </c>
      <c r="E68" s="51" t="s">
        <v>127</v>
      </c>
      <c r="F68" s="45" t="str" cm="1">
        <f t="array" ref="F68">_xlfn.IFS(H68="","", H68&lt;=2,"Low", H68&lt;=5,"Mid", H68&lt;=8,"High", TRUE,"Out of Range")</f>
        <v>Low</v>
      </c>
      <c r="G68" s="51" t="s">
        <v>57</v>
      </c>
      <c r="H68" s="52">
        <v>1</v>
      </c>
      <c r="I68" s="53">
        <v>46098</v>
      </c>
      <c r="J68" s="53">
        <v>46098</v>
      </c>
      <c r="K68" s="54">
        <f>H68/$O$6</f>
        <v>1</v>
      </c>
      <c r="L68" s="102" t="s">
        <v>22</v>
      </c>
    </row>
    <row r="69" spans="1:12">
      <c r="A69" s="51" t="s">
        <v>80</v>
      </c>
      <c r="B69" s="81" t="s">
        <v>84</v>
      </c>
      <c r="C69" s="51" t="s">
        <v>126</v>
      </c>
      <c r="D69" s="51" t="s">
        <v>46</v>
      </c>
      <c r="E69" s="51" t="s">
        <v>128</v>
      </c>
      <c r="F69" s="45" t="str" cm="1">
        <f t="array" ref="F69">_xlfn.IFS(H69="","", H69&lt;=2,"Low", H69&lt;=5,"Mid", H69&lt;=8,"High", TRUE,"Out of Range")</f>
        <v>Low</v>
      </c>
      <c r="G69" s="51" t="s">
        <v>57</v>
      </c>
      <c r="H69" s="52">
        <v>1</v>
      </c>
      <c r="I69" s="53">
        <v>46099</v>
      </c>
      <c r="J69" s="53">
        <v>46099</v>
      </c>
      <c r="K69" s="54">
        <f>H69/$O$6</f>
        <v>1</v>
      </c>
      <c r="L69" s="102" t="s">
        <v>22</v>
      </c>
    </row>
    <row r="70" spans="1:12">
      <c r="A70" s="51" t="s">
        <v>80</v>
      </c>
      <c r="B70" s="81" t="s">
        <v>84</v>
      </c>
      <c r="C70" s="51" t="s">
        <v>126</v>
      </c>
      <c r="D70" s="51" t="s">
        <v>50</v>
      </c>
      <c r="E70" s="51" t="s">
        <v>129</v>
      </c>
      <c r="F70" s="45" t="str" cm="1">
        <f t="array" ref="F70">_xlfn.IFS(H70="","", H70&lt;=2,"Low", H70&lt;=5,"Mid", H70&lt;=8,"High", TRUE,"Out of Range")</f>
        <v>Low</v>
      </c>
      <c r="G70" s="51" t="s">
        <v>62</v>
      </c>
      <c r="H70" s="52">
        <v>1</v>
      </c>
      <c r="I70" s="53">
        <v>46104</v>
      </c>
      <c r="J70" s="53">
        <v>46104</v>
      </c>
      <c r="K70" s="54">
        <f>H70/$O$8</f>
        <v>1</v>
      </c>
      <c r="L70" s="102" t="s">
        <v>22</v>
      </c>
    </row>
    <row r="71" spans="1:12">
      <c r="A71" s="51" t="s">
        <v>80</v>
      </c>
      <c r="B71" s="81" t="s">
        <v>84</v>
      </c>
      <c r="C71" s="51" t="s">
        <v>126</v>
      </c>
      <c r="D71" s="51" t="s">
        <v>50</v>
      </c>
      <c r="E71" s="51" t="s">
        <v>130</v>
      </c>
      <c r="F71" s="45" t="str" cm="1">
        <f t="array" ref="F71">_xlfn.IFS(H71="","", H71&lt;=2,"Low", H71&lt;=5,"Mid", H71&lt;=8,"High", TRUE,"Out of Range")</f>
        <v>Low</v>
      </c>
      <c r="G71" s="51" t="s">
        <v>86</v>
      </c>
      <c r="H71" s="52">
        <v>2</v>
      </c>
      <c r="I71" s="53">
        <v>46104</v>
      </c>
      <c r="J71" s="53">
        <v>46105</v>
      </c>
      <c r="K71" s="54">
        <f>H71/$O$7</f>
        <v>2</v>
      </c>
      <c r="L71" s="102" t="s">
        <v>22</v>
      </c>
    </row>
    <row r="72" spans="1:12">
      <c r="A72" s="51" t="s">
        <v>97</v>
      </c>
      <c r="B72" s="81" t="s">
        <v>84</v>
      </c>
      <c r="C72" s="51" t="s">
        <v>126</v>
      </c>
      <c r="D72" s="51" t="s">
        <v>55</v>
      </c>
      <c r="E72" s="51" t="s">
        <v>131</v>
      </c>
      <c r="F72" s="45" t="str" cm="1">
        <f t="array" ref="F72">_xlfn.IFS(H72="","", H72&lt;=2,"Low", H72&lt;=5,"Mid", H72&lt;=8,"High", TRUE,"Out of Range")</f>
        <v>Low</v>
      </c>
      <c r="G72" s="51" t="s">
        <v>57</v>
      </c>
      <c r="H72" s="52">
        <v>1</v>
      </c>
      <c r="I72" s="53">
        <v>46106</v>
      </c>
      <c r="J72" s="53">
        <v>46106</v>
      </c>
      <c r="K72" s="54">
        <f>H72/$O$5</f>
        <v>1</v>
      </c>
      <c r="L72" s="102" t="s">
        <v>22</v>
      </c>
    </row>
    <row r="73" spans="1:12">
      <c r="A73" s="51" t="s">
        <v>97</v>
      </c>
      <c r="B73" s="81" t="s">
        <v>84</v>
      </c>
      <c r="C73" s="51" t="s">
        <v>132</v>
      </c>
      <c r="D73" s="51" t="s">
        <v>46</v>
      </c>
      <c r="E73" s="51" t="s">
        <v>133</v>
      </c>
      <c r="F73" s="45" t="str" cm="1">
        <f t="array" ref="F73">_xlfn.IFS(H73="","", H73&lt;=2,"Low", H73&lt;=5,"Mid", H73&lt;=8,"High", TRUE,"Out of Range")</f>
        <v>Low</v>
      </c>
      <c r="G73" s="51" t="s">
        <v>57</v>
      </c>
      <c r="H73" s="52">
        <v>2</v>
      </c>
      <c r="I73" s="53">
        <v>46104</v>
      </c>
      <c r="J73" s="53">
        <v>46105</v>
      </c>
      <c r="K73" s="54">
        <f>H73/$O$6</f>
        <v>2</v>
      </c>
      <c r="L73" s="102" t="s">
        <v>22</v>
      </c>
    </row>
    <row r="74" spans="1:12">
      <c r="A74" s="51" t="s">
        <v>100</v>
      </c>
      <c r="B74" s="81" t="s">
        <v>84</v>
      </c>
      <c r="C74" s="51" t="s">
        <v>132</v>
      </c>
      <c r="D74" s="51" t="s">
        <v>46</v>
      </c>
      <c r="E74" s="51" t="s">
        <v>134</v>
      </c>
      <c r="F74" s="45" t="str" cm="1">
        <f t="array" ref="F74">_xlfn.IFS(H74="","", H74&lt;=2,"Low", H74&lt;=5,"Mid", H74&lt;=8,"High", TRUE,"Out of Range")</f>
        <v>Low</v>
      </c>
      <c r="G74" s="51" t="s">
        <v>57</v>
      </c>
      <c r="H74" s="52">
        <v>2</v>
      </c>
      <c r="I74" s="53">
        <v>46107</v>
      </c>
      <c r="J74" s="53">
        <v>46108</v>
      </c>
      <c r="K74" s="54">
        <f>H74/$O$6</f>
        <v>2</v>
      </c>
      <c r="L74" s="102" t="s">
        <v>22</v>
      </c>
    </row>
    <row r="75" spans="1:12">
      <c r="A75" s="51" t="s">
        <v>100</v>
      </c>
      <c r="B75" s="81" t="s">
        <v>84</v>
      </c>
      <c r="C75" s="51" t="s">
        <v>132</v>
      </c>
      <c r="D75" s="51" t="s">
        <v>50</v>
      </c>
      <c r="E75" s="51" t="s">
        <v>135</v>
      </c>
      <c r="F75" s="45" t="str" cm="1">
        <f t="array" ref="F75">_xlfn.IFS(H75="","", H75&lt;=2,"Low", H75&lt;=5,"Mid", H75&lt;=8,"High", TRUE,"Out of Range")</f>
        <v>Mid</v>
      </c>
      <c r="G75" s="51" t="s">
        <v>62</v>
      </c>
      <c r="H75" s="52">
        <v>3</v>
      </c>
      <c r="I75" s="53">
        <v>46111</v>
      </c>
      <c r="J75" s="53">
        <v>46113</v>
      </c>
      <c r="K75" s="54">
        <f>H75/$O$8</f>
        <v>3</v>
      </c>
      <c r="L75" s="102" t="s">
        <v>22</v>
      </c>
    </row>
    <row r="76" spans="1:12">
      <c r="A76" s="51" t="s">
        <v>100</v>
      </c>
      <c r="B76" s="81" t="s">
        <v>84</v>
      </c>
      <c r="C76" s="51" t="s">
        <v>132</v>
      </c>
      <c r="D76" s="51" t="s">
        <v>50</v>
      </c>
      <c r="E76" s="51" t="s">
        <v>136</v>
      </c>
      <c r="F76" s="45" t="str" cm="1">
        <f t="array" ref="F76">_xlfn.IFS(H76="","", H76&lt;=2,"Low", H76&lt;=5,"Mid", H76&lt;=8,"High", TRUE,"Out of Range")</f>
        <v>Mid</v>
      </c>
      <c r="G76" s="51" t="s">
        <v>86</v>
      </c>
      <c r="H76" s="52">
        <v>5</v>
      </c>
      <c r="I76" s="53">
        <v>46111</v>
      </c>
      <c r="J76" s="53">
        <v>46119</v>
      </c>
      <c r="K76" s="54">
        <f>H76/$O$7</f>
        <v>5</v>
      </c>
      <c r="L76" s="102" t="s">
        <v>22</v>
      </c>
    </row>
    <row r="77" spans="1:12">
      <c r="A77" s="51" t="s">
        <v>107</v>
      </c>
      <c r="B77" s="81" t="s">
        <v>84</v>
      </c>
      <c r="C77" s="51" t="s">
        <v>132</v>
      </c>
      <c r="D77" s="51" t="s">
        <v>55</v>
      </c>
      <c r="E77" s="51" t="s">
        <v>137</v>
      </c>
      <c r="F77" s="45" t="str" cm="1">
        <f t="array" ref="F77">_xlfn.IFS(H77="","", H77&lt;=2,"Low", H77&lt;=5,"Mid", H77&lt;=8,"High", TRUE,"Out of Range")</f>
        <v>Low</v>
      </c>
      <c r="G77" s="51" t="s">
        <v>57</v>
      </c>
      <c r="H77" s="52">
        <v>1</v>
      </c>
      <c r="I77" s="53">
        <v>46120</v>
      </c>
      <c r="J77" s="53">
        <v>46120</v>
      </c>
      <c r="K77" s="54">
        <f>H77/$O$5</f>
        <v>1</v>
      </c>
      <c r="L77" s="102" t="s">
        <v>22</v>
      </c>
    </row>
    <row r="78" spans="1:12">
      <c r="A78" s="51" t="s">
        <v>107</v>
      </c>
      <c r="B78" s="81" t="s">
        <v>84</v>
      </c>
      <c r="C78" s="51" t="s">
        <v>138</v>
      </c>
      <c r="D78" s="51" t="s">
        <v>46</v>
      </c>
      <c r="E78" s="51" t="s">
        <v>139</v>
      </c>
      <c r="F78" s="45" t="str" cm="1">
        <f t="array" ref="F78">_xlfn.IFS(H78="","", H78&lt;=2,"Low", H78&lt;=5,"Mid", H78&lt;=8,"High", TRUE,"Out of Range")</f>
        <v>Low</v>
      </c>
      <c r="G78" s="51" t="s">
        <v>57</v>
      </c>
      <c r="H78" s="52">
        <v>1</v>
      </c>
      <c r="I78" s="53">
        <v>46111</v>
      </c>
      <c r="J78" s="53">
        <v>46111</v>
      </c>
      <c r="K78" s="54">
        <f>H78/$O$6</f>
        <v>1</v>
      </c>
      <c r="L78" s="102" t="s">
        <v>22</v>
      </c>
    </row>
    <row r="79" spans="1:12">
      <c r="A79" s="51" t="s">
        <v>113</v>
      </c>
      <c r="B79" s="81" t="s">
        <v>84</v>
      </c>
      <c r="C79" s="51" t="s">
        <v>138</v>
      </c>
      <c r="D79" s="51" t="s">
        <v>46</v>
      </c>
      <c r="E79" s="51" t="s">
        <v>140</v>
      </c>
      <c r="F79" s="45" t="str" cm="1">
        <f t="array" ref="F79">_xlfn.IFS(H79="","", H79&lt;=2,"Low", H79&lt;=5,"Mid", H79&lt;=8,"High", TRUE,"Out of Range")</f>
        <v>Low</v>
      </c>
      <c r="G79" s="51" t="s">
        <v>57</v>
      </c>
      <c r="H79" s="52">
        <v>2</v>
      </c>
      <c r="I79" s="53">
        <v>46112</v>
      </c>
      <c r="J79" s="53">
        <v>46113</v>
      </c>
      <c r="K79" s="54">
        <f>H79/$O$6</f>
        <v>2</v>
      </c>
      <c r="L79" s="102" t="s">
        <v>22</v>
      </c>
    </row>
    <row r="80" spans="1:12">
      <c r="A80" s="51" t="s">
        <v>113</v>
      </c>
      <c r="B80" s="81" t="s">
        <v>84</v>
      </c>
      <c r="C80" s="51" t="s">
        <v>138</v>
      </c>
      <c r="D80" s="51" t="s">
        <v>50</v>
      </c>
      <c r="E80" s="51" t="s">
        <v>141</v>
      </c>
      <c r="F80" s="45" t="str" cm="1">
        <f t="array" ref="F80">_xlfn.IFS(H80="","", H80&lt;=2,"Low", H80&lt;=5,"Mid", H80&lt;=8,"High", TRUE,"Out of Range")</f>
        <v>Low</v>
      </c>
      <c r="G80" s="51" t="s">
        <v>62</v>
      </c>
      <c r="H80" s="52">
        <v>2</v>
      </c>
      <c r="I80" s="53">
        <v>46114</v>
      </c>
      <c r="J80" s="53">
        <v>46119</v>
      </c>
      <c r="K80" s="54">
        <f>H80/$O$8</f>
        <v>2</v>
      </c>
      <c r="L80" s="102" t="s">
        <v>22</v>
      </c>
    </row>
    <row r="81" spans="1:12">
      <c r="A81" s="51" t="s">
        <v>115</v>
      </c>
      <c r="B81" s="81" t="s">
        <v>84</v>
      </c>
      <c r="C81" s="51" t="s">
        <v>138</v>
      </c>
      <c r="D81" s="51" t="s">
        <v>50</v>
      </c>
      <c r="E81" s="51" t="s">
        <v>142</v>
      </c>
      <c r="F81" s="45" t="str" cm="1">
        <f t="array" ref="F81">_xlfn.IFS(H81="","", H81&lt;=2,"Low", H81&lt;=5,"Mid", H81&lt;=8,"High", TRUE,"Out of Range")</f>
        <v>Mid</v>
      </c>
      <c r="G81" s="51" t="s">
        <v>86</v>
      </c>
      <c r="H81" s="52">
        <v>4</v>
      </c>
      <c r="I81" s="53">
        <v>46120</v>
      </c>
      <c r="J81" s="53">
        <v>46125</v>
      </c>
      <c r="K81" s="54">
        <f>H81/$O$7</f>
        <v>4</v>
      </c>
      <c r="L81" s="102" t="s">
        <v>22</v>
      </c>
    </row>
    <row r="82" spans="1:12">
      <c r="A82" s="51" t="s">
        <v>121</v>
      </c>
      <c r="B82" s="81" t="s">
        <v>84</v>
      </c>
      <c r="C82" s="51" t="s">
        <v>138</v>
      </c>
      <c r="D82" s="51" t="s">
        <v>55</v>
      </c>
      <c r="E82" s="51" t="s">
        <v>143</v>
      </c>
      <c r="F82" s="45" t="str" cm="1">
        <f t="array" ref="F82">_xlfn.IFS(H82="","", H82&lt;=2,"Low", H82&lt;=5,"Mid", H82&lt;=8,"High", TRUE,"Out of Range")</f>
        <v>Low</v>
      </c>
      <c r="G82" s="51" t="s">
        <v>57</v>
      </c>
      <c r="H82" s="52">
        <v>2</v>
      </c>
      <c r="I82" s="53">
        <v>46126</v>
      </c>
      <c r="J82" s="53">
        <v>46127</v>
      </c>
      <c r="K82" s="54">
        <f>H82/$O$5</f>
        <v>2</v>
      </c>
      <c r="L82" s="102" t="s">
        <v>22</v>
      </c>
    </row>
    <row r="83" spans="1:12">
      <c r="A83" s="51" t="s">
        <v>121</v>
      </c>
      <c r="B83" s="81" t="s">
        <v>84</v>
      </c>
      <c r="C83" s="51" t="s">
        <v>144</v>
      </c>
      <c r="D83" s="51" t="s">
        <v>46</v>
      </c>
      <c r="E83" s="51" t="s">
        <v>145</v>
      </c>
      <c r="F83" s="45" t="str" cm="1">
        <f t="array" ref="F83">_xlfn.IFS(H83="","", H83&lt;=2,"Low", H83&lt;=5,"Mid", H83&lt;=8,"High", TRUE,"Out of Range")</f>
        <v>Low</v>
      </c>
      <c r="G83" s="51" t="s">
        <v>57</v>
      </c>
      <c r="H83" s="52">
        <v>1</v>
      </c>
      <c r="I83" s="53">
        <v>46114</v>
      </c>
      <c r="J83" s="53">
        <v>46114</v>
      </c>
      <c r="K83" s="54">
        <f>H83/$O$6</f>
        <v>1</v>
      </c>
      <c r="L83" s="102" t="s">
        <v>22</v>
      </c>
    </row>
    <row r="84" spans="1:12">
      <c r="A84" s="51" t="s">
        <v>121</v>
      </c>
      <c r="B84" s="81" t="s">
        <v>84</v>
      </c>
      <c r="C84" s="51" t="s">
        <v>144</v>
      </c>
      <c r="D84" s="51" t="s">
        <v>46</v>
      </c>
      <c r="E84" s="51" t="s">
        <v>146</v>
      </c>
      <c r="F84" s="45" t="str" cm="1">
        <f t="array" ref="F84">_xlfn.IFS(H84="","", H84&lt;=2,"Low", H84&lt;=5,"Mid", H84&lt;=8,"High", TRUE,"Out of Range")</f>
        <v>Low</v>
      </c>
      <c r="G84" s="51" t="s">
        <v>57</v>
      </c>
      <c r="H84" s="52">
        <v>1</v>
      </c>
      <c r="I84" s="53">
        <v>46121</v>
      </c>
      <c r="J84" s="53">
        <v>46121</v>
      </c>
      <c r="K84" s="54">
        <f>H84/$O$6</f>
        <v>1</v>
      </c>
      <c r="L84" s="102" t="s">
        <v>22</v>
      </c>
    </row>
    <row r="85" spans="1:12">
      <c r="A85" s="51" t="s">
        <v>125</v>
      </c>
      <c r="B85" s="81" t="s">
        <v>84</v>
      </c>
      <c r="C85" s="51" t="s">
        <v>144</v>
      </c>
      <c r="D85" s="51" t="s">
        <v>50</v>
      </c>
      <c r="E85" s="51" t="s">
        <v>147</v>
      </c>
      <c r="F85" s="45" t="str" cm="1">
        <f t="array" ref="F85">_xlfn.IFS(H85="","", H85&lt;=2,"Low", H85&lt;=5,"Mid", H85&lt;=8,"High", TRUE,"Out of Range")</f>
        <v>Low</v>
      </c>
      <c r="G85" s="51" t="s">
        <v>62</v>
      </c>
      <c r="H85" s="52">
        <v>2</v>
      </c>
      <c r="I85" s="53">
        <v>46122</v>
      </c>
      <c r="J85" s="53">
        <v>46125</v>
      </c>
      <c r="K85" s="54">
        <f>H85/$O$8</f>
        <v>2</v>
      </c>
      <c r="L85" s="102" t="s">
        <v>22</v>
      </c>
    </row>
    <row r="86" spans="1:12">
      <c r="A86" s="51" t="s">
        <v>125</v>
      </c>
      <c r="B86" s="81" t="s">
        <v>84</v>
      </c>
      <c r="C86" s="51" t="s">
        <v>144</v>
      </c>
      <c r="D86" s="51" t="s">
        <v>50</v>
      </c>
      <c r="E86" s="51" t="s">
        <v>148</v>
      </c>
      <c r="F86" s="45" t="str" cm="1">
        <f t="array" ref="F86">_xlfn.IFS(H86="","", H86&lt;=2,"Low", H86&lt;=5,"Mid", H86&lt;=8,"High", TRUE,"Out of Range")</f>
        <v>Mid</v>
      </c>
      <c r="G86" s="51" t="s">
        <v>86</v>
      </c>
      <c r="H86" s="52">
        <v>3</v>
      </c>
      <c r="I86" s="53">
        <v>46126</v>
      </c>
      <c r="J86" s="53">
        <v>46128</v>
      </c>
      <c r="K86" s="54">
        <f>H86/$O$7</f>
        <v>3</v>
      </c>
      <c r="L86" s="102" t="s">
        <v>22</v>
      </c>
    </row>
    <row r="87" spans="1:12">
      <c r="A87" s="51" t="s">
        <v>149</v>
      </c>
      <c r="B87" s="81" t="s">
        <v>84</v>
      </c>
      <c r="C87" s="51" t="s">
        <v>144</v>
      </c>
      <c r="D87" s="51" t="s">
        <v>55</v>
      </c>
      <c r="E87" s="51" t="s">
        <v>150</v>
      </c>
      <c r="F87" s="45" t="str" cm="1">
        <f t="array" ref="F87">_xlfn.IFS(H87="","", H87&lt;=2,"Low", H87&lt;=5,"Mid", H87&lt;=8,"High", TRUE,"Out of Range")</f>
        <v>Low</v>
      </c>
      <c r="G87" s="51" t="s">
        <v>57</v>
      </c>
      <c r="H87" s="52">
        <v>1</v>
      </c>
      <c r="I87" s="53">
        <v>46129</v>
      </c>
      <c r="J87" s="53">
        <v>46129</v>
      </c>
      <c r="K87" s="54">
        <f>H87/$O$5</f>
        <v>1</v>
      </c>
      <c r="L87" s="102" t="s">
        <v>22</v>
      </c>
    </row>
    <row r="88" spans="1:12">
      <c r="A88" s="51" t="s">
        <v>151</v>
      </c>
      <c r="B88" s="81" t="s">
        <v>84</v>
      </c>
      <c r="C88" s="51" t="s">
        <v>152</v>
      </c>
      <c r="D88" s="51" t="s">
        <v>46</v>
      </c>
      <c r="E88" s="51" t="s">
        <v>153</v>
      </c>
      <c r="F88" s="45" t="str" cm="1">
        <f t="array" ref="F88">_xlfn.IFS(H88="","", H88&lt;=2,"Low", H88&lt;=5,"Mid", H88&lt;=8,"High", TRUE,"Out of Range")</f>
        <v>Low</v>
      </c>
      <c r="G88" s="51" t="s">
        <v>57</v>
      </c>
      <c r="H88" s="52">
        <v>2</v>
      </c>
      <c r="I88" s="53">
        <v>46122</v>
      </c>
      <c r="J88" s="53">
        <v>46125</v>
      </c>
      <c r="K88" s="54">
        <f>H88/$O$6</f>
        <v>2</v>
      </c>
      <c r="L88" s="102" t="s">
        <v>22</v>
      </c>
    </row>
    <row r="89" spans="1:12">
      <c r="A89" s="51" t="s">
        <v>151</v>
      </c>
      <c r="B89" s="81" t="s">
        <v>84</v>
      </c>
      <c r="C89" s="51" t="s">
        <v>152</v>
      </c>
      <c r="D89" s="51" t="s">
        <v>46</v>
      </c>
      <c r="E89" s="51" t="s">
        <v>154</v>
      </c>
      <c r="F89" s="45" t="str" cm="1">
        <f t="array" ref="F89">_xlfn.IFS(H89="","", H89&lt;=2,"Low", H89&lt;=5,"Mid", H89&lt;=8,"High", TRUE,"Out of Range")</f>
        <v>Low</v>
      </c>
      <c r="G89" s="51" t="s">
        <v>57</v>
      </c>
      <c r="H89" s="52">
        <v>2</v>
      </c>
      <c r="I89" s="53">
        <v>46132</v>
      </c>
      <c r="J89" s="53">
        <v>46133</v>
      </c>
      <c r="K89" s="54">
        <f>H89/$O$6</f>
        <v>2</v>
      </c>
      <c r="L89" s="102" t="s">
        <v>22</v>
      </c>
    </row>
    <row r="90" spans="1:12">
      <c r="A90" s="51" t="s">
        <v>151</v>
      </c>
      <c r="B90" s="81" t="s">
        <v>84</v>
      </c>
      <c r="C90" s="51" t="s">
        <v>152</v>
      </c>
      <c r="D90" s="51" t="s">
        <v>50</v>
      </c>
      <c r="E90" s="51" t="s">
        <v>155</v>
      </c>
      <c r="F90" s="45" t="str" cm="1">
        <f t="array" ref="F90">_xlfn.IFS(H90="","", H90&lt;=2,"Low", H90&lt;=5,"Mid", H90&lt;=8,"High", TRUE,"Out of Range")</f>
        <v>Low</v>
      </c>
      <c r="G90" s="51" t="s">
        <v>62</v>
      </c>
      <c r="H90" s="52">
        <v>2</v>
      </c>
      <c r="I90" s="53">
        <v>46134</v>
      </c>
      <c r="J90" s="53">
        <v>46135</v>
      </c>
      <c r="K90" s="54">
        <f>H90/$O$8</f>
        <v>2</v>
      </c>
      <c r="L90" s="102" t="s">
        <v>22</v>
      </c>
    </row>
    <row r="91" spans="1:12">
      <c r="A91" s="51" t="s">
        <v>156</v>
      </c>
      <c r="B91" s="81" t="s">
        <v>84</v>
      </c>
      <c r="C91" s="51" t="s">
        <v>152</v>
      </c>
      <c r="D91" s="51" t="s">
        <v>50</v>
      </c>
      <c r="E91" s="51" t="s">
        <v>157</v>
      </c>
      <c r="F91" s="45" t="str" cm="1">
        <f t="array" ref="F91">_xlfn.IFS(H91="","", H91&lt;=2,"Low", H91&lt;=5,"Mid", H91&lt;=8,"High", TRUE,"Out of Range")</f>
        <v>Mid</v>
      </c>
      <c r="G91" s="51" t="s">
        <v>86</v>
      </c>
      <c r="H91" s="52">
        <v>5</v>
      </c>
      <c r="I91" s="53">
        <v>46134</v>
      </c>
      <c r="J91" s="53">
        <v>46140</v>
      </c>
      <c r="K91" s="54">
        <f>H91/$O$7</f>
        <v>5</v>
      </c>
      <c r="L91" s="102" t="s">
        <v>22</v>
      </c>
    </row>
    <row r="92" spans="1:12">
      <c r="A92" s="51" t="s">
        <v>156</v>
      </c>
      <c r="B92" s="81" t="s">
        <v>84</v>
      </c>
      <c r="C92" s="51" t="s">
        <v>152</v>
      </c>
      <c r="D92" s="51" t="s">
        <v>55</v>
      </c>
      <c r="E92" s="51" t="s">
        <v>158</v>
      </c>
      <c r="F92" s="45" t="str" cm="1">
        <f t="array" ref="F92">_xlfn.IFS(H92="","", H92&lt;=2,"Low", H92&lt;=5,"Mid", H92&lt;=8,"High", TRUE,"Out of Range")</f>
        <v>Low</v>
      </c>
      <c r="G92" s="51" t="s">
        <v>57</v>
      </c>
      <c r="H92" s="52">
        <v>2</v>
      </c>
      <c r="I92" s="53">
        <v>46141</v>
      </c>
      <c r="J92" s="53">
        <v>46142</v>
      </c>
      <c r="K92" s="54">
        <f>H92/$O$5</f>
        <v>2</v>
      </c>
      <c r="L92" s="102" t="s">
        <v>22</v>
      </c>
    </row>
    <row r="93" spans="1:12">
      <c r="A93" s="51" t="s">
        <v>159</v>
      </c>
      <c r="B93" s="81" t="s">
        <v>84</v>
      </c>
      <c r="C93" s="51" t="s">
        <v>160</v>
      </c>
      <c r="D93" s="51" t="s">
        <v>46</v>
      </c>
      <c r="E93" s="51" t="s">
        <v>161</v>
      </c>
      <c r="F93" s="45" t="str" cm="1">
        <f t="array" ref="F93">_xlfn.IFS(H93="","", H93&lt;=2,"Low", H93&lt;=5,"Mid", H93&lt;=8,"High", TRUE,"Out of Range")</f>
        <v>Low</v>
      </c>
      <c r="G93" s="51" t="s">
        <v>57</v>
      </c>
      <c r="H93" s="52">
        <v>1</v>
      </c>
      <c r="I93" s="53">
        <v>46134</v>
      </c>
      <c r="J93" s="53">
        <v>46134</v>
      </c>
      <c r="K93" s="54">
        <f>H93/$O$6</f>
        <v>1</v>
      </c>
      <c r="L93" s="102" t="s">
        <v>22</v>
      </c>
    </row>
    <row r="94" spans="1:12">
      <c r="A94" s="51" t="s">
        <v>159</v>
      </c>
      <c r="B94" s="81" t="s">
        <v>84</v>
      </c>
      <c r="C94" s="51" t="s">
        <v>160</v>
      </c>
      <c r="D94" s="51" t="s">
        <v>46</v>
      </c>
      <c r="E94" s="51" t="s">
        <v>162</v>
      </c>
      <c r="F94" s="45" t="str" cm="1">
        <f t="array" ref="F94">_xlfn.IFS(H94="","", H94&lt;=2,"Low", H94&lt;=5,"Mid", H94&lt;=8,"High", TRUE,"Out of Range")</f>
        <v>Low</v>
      </c>
      <c r="G94" s="51" t="s">
        <v>57</v>
      </c>
      <c r="H94" s="52">
        <v>1</v>
      </c>
      <c r="I94" s="53">
        <v>46135</v>
      </c>
      <c r="J94" s="53">
        <v>46135</v>
      </c>
      <c r="K94" s="54">
        <f>H94/$O$6</f>
        <v>1</v>
      </c>
      <c r="L94" s="102" t="s">
        <v>22</v>
      </c>
    </row>
    <row r="95" spans="1:12">
      <c r="A95" s="51" t="s">
        <v>159</v>
      </c>
      <c r="B95" s="81" t="s">
        <v>84</v>
      </c>
      <c r="C95" s="51" t="s">
        <v>160</v>
      </c>
      <c r="D95" s="51" t="s">
        <v>50</v>
      </c>
      <c r="E95" s="51" t="s">
        <v>163</v>
      </c>
      <c r="F95" s="45" t="str" cm="1">
        <f t="array" ref="F95">_xlfn.IFS(H95="","", H95&lt;=2,"Low", H95&lt;=5,"Mid", H95&lt;=8,"High", TRUE,"Out of Range")</f>
        <v>Low</v>
      </c>
      <c r="G95" s="51" t="s">
        <v>62</v>
      </c>
      <c r="H95" s="52">
        <v>2</v>
      </c>
      <c r="I95" s="53">
        <v>46136</v>
      </c>
      <c r="J95" s="53">
        <v>46139</v>
      </c>
      <c r="K95" s="54">
        <f>H95/$O$8</f>
        <v>2</v>
      </c>
      <c r="L95" s="102" t="s">
        <v>22</v>
      </c>
    </row>
    <row r="96" spans="1:12">
      <c r="A96" s="51" t="s">
        <v>164</v>
      </c>
      <c r="B96" s="81" t="s">
        <v>84</v>
      </c>
      <c r="C96" s="51" t="s">
        <v>160</v>
      </c>
      <c r="D96" s="51" t="s">
        <v>50</v>
      </c>
      <c r="E96" s="51" t="s">
        <v>165</v>
      </c>
      <c r="F96" s="45" t="str" cm="1">
        <f t="array" ref="F96">_xlfn.IFS(H96="","", H96&lt;=2,"Low", H96&lt;=5,"Mid", H96&lt;=8,"High", TRUE,"Out of Range")</f>
        <v>Mid</v>
      </c>
      <c r="G96" s="51" t="s">
        <v>86</v>
      </c>
      <c r="H96" s="52">
        <v>3</v>
      </c>
      <c r="I96" s="53">
        <v>46141</v>
      </c>
      <c r="J96" s="53">
        <v>46146</v>
      </c>
      <c r="K96" s="54">
        <f>H96/$O$7</f>
        <v>3</v>
      </c>
      <c r="L96" s="102" t="s">
        <v>22</v>
      </c>
    </row>
    <row r="97" spans="1:12">
      <c r="A97" s="51" t="s">
        <v>166</v>
      </c>
      <c r="B97" s="81" t="s">
        <v>84</v>
      </c>
      <c r="C97" s="51" t="s">
        <v>160</v>
      </c>
      <c r="D97" s="51" t="s">
        <v>55</v>
      </c>
      <c r="E97" s="51" t="s">
        <v>167</v>
      </c>
      <c r="F97" s="45" t="str" cm="1">
        <f t="array" ref="F97">_xlfn.IFS(H97="","", H97&lt;=2,"Low", H97&lt;=5,"Mid", H97&lt;=8,"High", TRUE,"Out of Range")</f>
        <v>Low</v>
      </c>
      <c r="G97" s="51" t="s">
        <v>57</v>
      </c>
      <c r="H97" s="52">
        <v>1</v>
      </c>
      <c r="I97" s="53">
        <v>46147</v>
      </c>
      <c r="J97" s="53">
        <v>46147</v>
      </c>
      <c r="K97" s="54">
        <f>H97/$O$5</f>
        <v>1</v>
      </c>
      <c r="L97" s="102" t="s">
        <v>22</v>
      </c>
    </row>
    <row r="98" spans="1:12">
      <c r="A98" s="51" t="s">
        <v>166</v>
      </c>
      <c r="B98" s="81" t="s">
        <v>84</v>
      </c>
      <c r="C98" s="51" t="s">
        <v>168</v>
      </c>
      <c r="D98" s="51" t="s">
        <v>46</v>
      </c>
      <c r="E98" s="51" t="s">
        <v>169</v>
      </c>
      <c r="F98" s="45" t="str" cm="1">
        <f t="array" ref="F98">_xlfn.IFS(H98="","", H98&lt;=2,"Low", H98&lt;=5,"Mid", H98&lt;=8,"High", TRUE,"Out of Range")</f>
        <v>Low</v>
      </c>
      <c r="G98" s="51" t="s">
        <v>57</v>
      </c>
      <c r="H98" s="52">
        <v>2</v>
      </c>
      <c r="I98" s="53">
        <v>46136</v>
      </c>
      <c r="J98" s="53">
        <v>46139</v>
      </c>
      <c r="K98" s="54">
        <f>H98/$O$6</f>
        <v>2</v>
      </c>
      <c r="L98" s="102" t="s">
        <v>22</v>
      </c>
    </row>
    <row r="99" spans="1:12">
      <c r="A99" s="51" t="s">
        <v>166</v>
      </c>
      <c r="B99" s="81" t="s">
        <v>84</v>
      </c>
      <c r="C99" s="51" t="s">
        <v>168</v>
      </c>
      <c r="D99" s="51" t="s">
        <v>46</v>
      </c>
      <c r="E99" s="51" t="s">
        <v>170</v>
      </c>
      <c r="F99" s="45" t="str" cm="1">
        <f t="array" ref="F99">_xlfn.IFS(H99="","", H99&lt;=2,"Low", H99&lt;=5,"Mid", H99&lt;=8,"High", TRUE,"Out of Range")</f>
        <v>Low</v>
      </c>
      <c r="G99" s="51" t="s">
        <v>57</v>
      </c>
      <c r="H99" s="52">
        <v>2</v>
      </c>
      <c r="I99" s="53">
        <v>46140</v>
      </c>
      <c r="J99" s="53">
        <v>46146</v>
      </c>
      <c r="K99" s="54">
        <f>H99/$O$6</f>
        <v>2</v>
      </c>
      <c r="L99" s="102" t="s">
        <v>22</v>
      </c>
    </row>
    <row r="100" spans="1:12">
      <c r="A100" s="51" t="s">
        <v>166</v>
      </c>
      <c r="B100" s="81" t="s">
        <v>84</v>
      </c>
      <c r="C100" s="51" t="s">
        <v>168</v>
      </c>
      <c r="D100" s="51" t="s">
        <v>50</v>
      </c>
      <c r="E100" s="51" t="s">
        <v>171</v>
      </c>
      <c r="F100" s="45" t="str" cm="1">
        <f t="array" ref="F100">_xlfn.IFS(H100="","", H100&lt;=2,"Low", H100&lt;=5,"Mid", H100&lt;=8,"High", TRUE,"Out of Range")</f>
        <v>Mid</v>
      </c>
      <c r="G100" s="51" t="s">
        <v>62</v>
      </c>
      <c r="H100" s="52">
        <v>3</v>
      </c>
      <c r="I100" s="53">
        <v>46147</v>
      </c>
      <c r="J100" s="53">
        <v>46149</v>
      </c>
      <c r="K100" s="54">
        <f>H100/$O$8</f>
        <v>3</v>
      </c>
      <c r="L100" s="102" t="s">
        <v>22</v>
      </c>
    </row>
    <row r="101" spans="1:12">
      <c r="A101" s="51" t="s">
        <v>172</v>
      </c>
      <c r="B101" s="81" t="s">
        <v>84</v>
      </c>
      <c r="C101" s="51" t="s">
        <v>168</v>
      </c>
      <c r="D101" s="51" t="s">
        <v>50</v>
      </c>
      <c r="E101" s="51" t="s">
        <v>173</v>
      </c>
      <c r="F101" s="45" t="str" cm="1">
        <f t="array" ref="F101">_xlfn.IFS(H101="","", H101&lt;=2,"Low", H101&lt;=5,"Mid", H101&lt;=8,"High", TRUE,"Out of Range")</f>
        <v>Mid</v>
      </c>
      <c r="G101" s="51" t="s">
        <v>86</v>
      </c>
      <c r="H101" s="52">
        <v>5</v>
      </c>
      <c r="I101" s="53">
        <v>46147</v>
      </c>
      <c r="J101" s="53">
        <v>46153</v>
      </c>
      <c r="K101" s="54">
        <f>H101/$O$7</f>
        <v>5</v>
      </c>
      <c r="L101" s="102" t="s">
        <v>22</v>
      </c>
    </row>
    <row r="102" spans="1:12">
      <c r="A102" s="51" t="s">
        <v>172</v>
      </c>
      <c r="B102" s="81" t="s">
        <v>84</v>
      </c>
      <c r="C102" s="51" t="s">
        <v>168</v>
      </c>
      <c r="D102" s="51" t="s">
        <v>55</v>
      </c>
      <c r="E102" s="51" t="s">
        <v>174</v>
      </c>
      <c r="F102" s="45" t="str" cm="1">
        <f t="array" ref="F102">_xlfn.IFS(H102="","", H102&lt;=2,"Low", H102&lt;=5,"Mid", H102&lt;=8,"High", TRUE,"Out of Range")</f>
        <v>Low</v>
      </c>
      <c r="G102" s="51" t="s">
        <v>57</v>
      </c>
      <c r="H102" s="52">
        <v>1</v>
      </c>
      <c r="I102" s="53">
        <v>46154</v>
      </c>
      <c r="J102" s="53">
        <v>46154</v>
      </c>
      <c r="K102" s="54">
        <f>H102/$O$5</f>
        <v>1</v>
      </c>
      <c r="L102" s="102" t="s">
        <v>22</v>
      </c>
    </row>
    <row r="103" spans="1:12">
      <c r="A103" s="51" t="s">
        <v>149</v>
      </c>
      <c r="B103" s="81" t="s">
        <v>84</v>
      </c>
      <c r="C103" s="51" t="s">
        <v>175</v>
      </c>
      <c r="D103" s="51" t="s">
        <v>46</v>
      </c>
      <c r="E103" s="51" t="s">
        <v>176</v>
      </c>
      <c r="F103" s="45" t="str" cm="1">
        <f t="array" ref="F103">_xlfn.IFS(H103="","", H103&lt;=2,"Low", H103&lt;=5,"Mid", H103&lt;=8,"High", TRUE,"Out of Range")</f>
        <v>Low</v>
      </c>
      <c r="G103" s="51" t="s">
        <v>57</v>
      </c>
      <c r="H103" s="52">
        <v>1</v>
      </c>
      <c r="I103" s="53">
        <v>46148</v>
      </c>
      <c r="J103" s="53">
        <v>46148</v>
      </c>
      <c r="K103" s="54">
        <f>H103/$O$5</f>
        <v>1</v>
      </c>
      <c r="L103" s="102" t="s">
        <v>22</v>
      </c>
    </row>
    <row r="104" spans="1:12">
      <c r="A104" s="51" t="s">
        <v>149</v>
      </c>
      <c r="B104" s="81" t="s">
        <v>84</v>
      </c>
      <c r="C104" s="51" t="s">
        <v>175</v>
      </c>
      <c r="D104" s="51" t="s">
        <v>46</v>
      </c>
      <c r="E104" s="51" t="s">
        <v>177</v>
      </c>
      <c r="F104" s="45" t="str" cm="1">
        <f t="array" ref="F104">_xlfn.IFS(H104="","", H104&lt;=2,"Low", H104&lt;=5,"Mid", H104&lt;=8,"High", TRUE,"Out of Range")</f>
        <v>Low</v>
      </c>
      <c r="G104" s="51" t="s">
        <v>57</v>
      </c>
      <c r="H104" s="52">
        <v>2</v>
      </c>
      <c r="I104" s="53">
        <v>46149</v>
      </c>
      <c r="J104" s="53">
        <v>46150</v>
      </c>
      <c r="K104" s="54">
        <f>H104/$O$5</f>
        <v>2</v>
      </c>
      <c r="L104" s="102" t="s">
        <v>22</v>
      </c>
    </row>
    <row r="105" spans="1:12">
      <c r="A105" s="51" t="s">
        <v>149</v>
      </c>
      <c r="B105" s="81" t="s">
        <v>84</v>
      </c>
      <c r="C105" s="51" t="s">
        <v>175</v>
      </c>
      <c r="D105" s="51" t="s">
        <v>50</v>
      </c>
      <c r="E105" s="51" t="s">
        <v>178</v>
      </c>
      <c r="F105" s="45" t="str" cm="1">
        <f t="array" ref="F105">_xlfn.IFS(H105="","", H105&lt;=2,"Low", H105&lt;=5,"Mid", H105&lt;=8,"High", TRUE,"Out of Range")</f>
        <v>Low</v>
      </c>
      <c r="G105" s="51" t="s">
        <v>62</v>
      </c>
      <c r="H105" s="52">
        <v>2</v>
      </c>
      <c r="I105" s="53">
        <v>46153</v>
      </c>
      <c r="J105" s="53">
        <v>46154</v>
      </c>
      <c r="K105" s="54">
        <f>H105/$O$8</f>
        <v>2</v>
      </c>
      <c r="L105" s="102" t="s">
        <v>22</v>
      </c>
    </row>
    <row r="106" spans="1:12">
      <c r="A106" s="51" t="s">
        <v>151</v>
      </c>
      <c r="B106" s="81" t="s">
        <v>84</v>
      </c>
      <c r="C106" s="51" t="s">
        <v>175</v>
      </c>
      <c r="D106" s="51" t="s">
        <v>50</v>
      </c>
      <c r="E106" s="51" t="s">
        <v>179</v>
      </c>
      <c r="F106" s="45" t="str" cm="1">
        <f t="array" ref="F106">_xlfn.IFS(H106="","", H106&lt;=2,"Low", H106&lt;=5,"Mid", H106&lt;=8,"High", TRUE,"Out of Range")</f>
        <v>Mid</v>
      </c>
      <c r="G106" s="51" t="s">
        <v>18</v>
      </c>
      <c r="H106" s="52">
        <v>3</v>
      </c>
      <c r="I106" s="53">
        <v>46154</v>
      </c>
      <c r="J106" s="53">
        <v>46156</v>
      </c>
      <c r="K106" s="54">
        <f>H106/$O$5</f>
        <v>3</v>
      </c>
      <c r="L106" s="102" t="s">
        <v>22</v>
      </c>
    </row>
    <row r="107" spans="1:12">
      <c r="A107" s="51" t="s">
        <v>151</v>
      </c>
      <c r="B107" s="81" t="s">
        <v>84</v>
      </c>
      <c r="C107" s="51" t="s">
        <v>175</v>
      </c>
      <c r="D107" s="51" t="s">
        <v>55</v>
      </c>
      <c r="E107" s="51" t="s">
        <v>180</v>
      </c>
      <c r="F107" s="45" t="str" cm="1">
        <f t="array" ref="F107">_xlfn.IFS(H107="","", H107&lt;=2,"Low", H107&lt;=5,"Mid", H107&lt;=8,"High", TRUE,"Out of Range")</f>
        <v>Low</v>
      </c>
      <c r="G107" s="51" t="s">
        <v>57</v>
      </c>
      <c r="H107" s="52">
        <v>1</v>
      </c>
      <c r="I107" s="53">
        <v>46157</v>
      </c>
      <c r="J107" s="53">
        <v>46157</v>
      </c>
      <c r="K107" s="54">
        <f>H107/$O$5</f>
        <v>1</v>
      </c>
      <c r="L107" s="102" t="s">
        <v>22</v>
      </c>
    </row>
    <row r="108" spans="1:12">
      <c r="A108" s="51" t="s">
        <v>156</v>
      </c>
      <c r="B108" s="81" t="s">
        <v>84</v>
      </c>
      <c r="C108" s="51" t="s">
        <v>181</v>
      </c>
      <c r="D108" s="51" t="s">
        <v>46</v>
      </c>
      <c r="E108" s="51" t="s">
        <v>182</v>
      </c>
      <c r="F108" s="45" t="str" cm="1">
        <f t="array" ref="F108">_xlfn.IFS(H108="","", H108&lt;=2,"Low", H108&lt;=5,"Mid", H108&lt;=8,"High", TRUE,"Out of Range")</f>
        <v>Low</v>
      </c>
      <c r="G108" s="51" t="s">
        <v>57</v>
      </c>
      <c r="H108" s="52">
        <v>1</v>
      </c>
      <c r="I108" s="53">
        <v>46153</v>
      </c>
      <c r="J108" s="53">
        <v>46153</v>
      </c>
      <c r="K108" s="54">
        <f>H108/$O$5</f>
        <v>1</v>
      </c>
      <c r="L108" s="102" t="s">
        <v>22</v>
      </c>
    </row>
    <row r="109" spans="1:12">
      <c r="A109" s="51" t="s">
        <v>156</v>
      </c>
      <c r="B109" s="81" t="s">
        <v>84</v>
      </c>
      <c r="C109" s="51" t="s">
        <v>181</v>
      </c>
      <c r="D109" s="51" t="s">
        <v>46</v>
      </c>
      <c r="E109" s="51" t="s">
        <v>183</v>
      </c>
      <c r="F109" s="45" t="str" cm="1">
        <f t="array" ref="F109">_xlfn.IFS(H109="","", H109&lt;=2,"Low", H109&lt;=5,"Mid", H109&lt;=8,"High", TRUE,"Out of Range")</f>
        <v>Low</v>
      </c>
      <c r="G109" s="51" t="s">
        <v>57</v>
      </c>
      <c r="H109" s="52">
        <v>1</v>
      </c>
      <c r="I109" s="53">
        <v>46155</v>
      </c>
      <c r="J109" s="53">
        <v>46155</v>
      </c>
      <c r="K109" s="54">
        <f>H109/$O$5</f>
        <v>1</v>
      </c>
      <c r="L109" s="102" t="s">
        <v>22</v>
      </c>
    </row>
    <row r="110" spans="1:12">
      <c r="A110" s="51" t="s">
        <v>156</v>
      </c>
      <c r="B110" s="81" t="s">
        <v>84</v>
      </c>
      <c r="C110" s="51" t="s">
        <v>181</v>
      </c>
      <c r="D110" s="51" t="s">
        <v>50</v>
      </c>
      <c r="E110" s="51" t="s">
        <v>184</v>
      </c>
      <c r="F110" s="45" t="str" cm="1">
        <f t="array" ref="F110">_xlfn.IFS(H110="","", H110&lt;=2,"Low", H110&lt;=5,"Mid", H110&lt;=8,"High", TRUE,"Out of Range")</f>
        <v>Low</v>
      </c>
      <c r="G110" s="51" t="s">
        <v>62</v>
      </c>
      <c r="H110" s="52">
        <v>2</v>
      </c>
      <c r="I110" s="53">
        <v>46156</v>
      </c>
      <c r="J110" s="53">
        <v>46157</v>
      </c>
      <c r="K110" s="54">
        <f>H110/$O$8</f>
        <v>2</v>
      </c>
      <c r="L110" s="102" t="s">
        <v>22</v>
      </c>
    </row>
    <row r="111" spans="1:12">
      <c r="A111" s="51" t="s">
        <v>156</v>
      </c>
      <c r="B111" s="81" t="s">
        <v>84</v>
      </c>
      <c r="C111" s="51" t="s">
        <v>181</v>
      </c>
      <c r="D111" s="51" t="s">
        <v>50</v>
      </c>
      <c r="E111" s="51" t="s">
        <v>185</v>
      </c>
      <c r="F111" s="45" t="str" cm="1">
        <f t="array" ref="F111">_xlfn.IFS(H111="","", H111&lt;=2,"Low", H111&lt;=5,"Mid", H111&lt;=8,"High", TRUE,"Out of Range")</f>
        <v>Low</v>
      </c>
      <c r="G111" s="51" t="s">
        <v>18</v>
      </c>
      <c r="H111" s="52">
        <v>2</v>
      </c>
      <c r="I111" s="53">
        <v>46157</v>
      </c>
      <c r="J111" s="53">
        <v>46160</v>
      </c>
      <c r="K111" s="54">
        <f>H111/$O$5</f>
        <v>2</v>
      </c>
      <c r="L111" s="102" t="s">
        <v>22</v>
      </c>
    </row>
    <row r="112" spans="1:12">
      <c r="A112" s="51" t="s">
        <v>159</v>
      </c>
      <c r="B112" s="81" t="s">
        <v>84</v>
      </c>
      <c r="C112" s="51" t="s">
        <v>181</v>
      </c>
      <c r="D112" s="51" t="s">
        <v>55</v>
      </c>
      <c r="E112" s="51" t="s">
        <v>186</v>
      </c>
      <c r="F112" s="45" t="str" cm="1">
        <f t="array" ref="F112">_xlfn.IFS(H112="","", H112&lt;=2,"Low", H112&lt;=5,"Mid", H112&lt;=8,"High", TRUE,"Out of Range")</f>
        <v>Low</v>
      </c>
      <c r="G112" s="51" t="s">
        <v>57</v>
      </c>
      <c r="H112" s="52">
        <v>1</v>
      </c>
      <c r="I112" s="53">
        <v>46161</v>
      </c>
      <c r="J112" s="53">
        <v>46161</v>
      </c>
      <c r="K112" s="54">
        <f>H112/$O$5</f>
        <v>1</v>
      </c>
      <c r="L112" s="102" t="s">
        <v>22</v>
      </c>
    </row>
    <row r="113" spans="1:12">
      <c r="A113" s="51" t="s">
        <v>159</v>
      </c>
      <c r="B113" s="81" t="s">
        <v>84</v>
      </c>
      <c r="C113" s="51" t="s">
        <v>187</v>
      </c>
      <c r="D113" s="51" t="s">
        <v>46</v>
      </c>
      <c r="E113" s="51" t="s">
        <v>188</v>
      </c>
      <c r="F113" s="45" t="str" cm="1">
        <f t="array" ref="F113">_xlfn.IFS(H113="","", H113&lt;=2,"Low", H113&lt;=5,"Mid", H113&lt;=8,"High", TRUE,"Out of Range")</f>
        <v>Low</v>
      </c>
      <c r="G113" s="51" t="s">
        <v>57</v>
      </c>
      <c r="H113" s="52">
        <v>1</v>
      </c>
      <c r="I113" s="53">
        <v>46160</v>
      </c>
      <c r="J113" s="53">
        <v>46160</v>
      </c>
      <c r="K113" s="54">
        <f>H113/$O$5</f>
        <v>1</v>
      </c>
      <c r="L113" s="102" t="s">
        <v>22</v>
      </c>
    </row>
    <row r="114" spans="1:12">
      <c r="A114" s="51" t="s">
        <v>159</v>
      </c>
      <c r="B114" s="81" t="s">
        <v>84</v>
      </c>
      <c r="C114" s="51" t="s">
        <v>187</v>
      </c>
      <c r="D114" s="51" t="s">
        <v>46</v>
      </c>
      <c r="E114" s="51" t="s">
        <v>189</v>
      </c>
      <c r="F114" s="45" t="str" cm="1">
        <f t="array" ref="F114">_xlfn.IFS(H114="","", H114&lt;=2,"Low", H114&lt;=5,"Mid", H114&lt;=8,"High", TRUE,"Out of Range")</f>
        <v>Low</v>
      </c>
      <c r="G114" s="51" t="s">
        <v>57</v>
      </c>
      <c r="H114" s="52">
        <v>2</v>
      </c>
      <c r="I114" s="53">
        <v>46162</v>
      </c>
      <c r="J114" s="53">
        <v>46163</v>
      </c>
      <c r="K114" s="54">
        <f>H114/$O$5</f>
        <v>2</v>
      </c>
      <c r="L114" s="102" t="s">
        <v>22</v>
      </c>
    </row>
    <row r="115" spans="1:12">
      <c r="A115" s="51" t="s">
        <v>159</v>
      </c>
      <c r="B115" s="81" t="s">
        <v>84</v>
      </c>
      <c r="C115" s="51" t="s">
        <v>187</v>
      </c>
      <c r="D115" s="51" t="s">
        <v>50</v>
      </c>
      <c r="E115" s="51" t="s">
        <v>190</v>
      </c>
      <c r="F115" s="45" t="str" cm="1">
        <f t="array" ref="F115">_xlfn.IFS(H115="","", H115&lt;=2,"Low", H115&lt;=5,"Mid", H115&lt;=8,"High", TRUE,"Out of Range")</f>
        <v>Low</v>
      </c>
      <c r="G115" s="51" t="s">
        <v>62</v>
      </c>
      <c r="H115" s="52">
        <v>1</v>
      </c>
      <c r="I115" s="53">
        <v>46164</v>
      </c>
      <c r="J115" s="53">
        <v>46164</v>
      </c>
      <c r="K115" s="54">
        <f>H115/$O$8</f>
        <v>1</v>
      </c>
      <c r="L115" s="102" t="s">
        <v>22</v>
      </c>
    </row>
    <row r="116" spans="1:12">
      <c r="A116" s="51" t="s">
        <v>159</v>
      </c>
      <c r="B116" s="81" t="s">
        <v>84</v>
      </c>
      <c r="C116" s="51" t="s">
        <v>187</v>
      </c>
      <c r="D116" s="51" t="s">
        <v>50</v>
      </c>
      <c r="E116" s="51" t="s">
        <v>191</v>
      </c>
      <c r="F116" s="45" t="str" cm="1">
        <f t="array" ref="F116">_xlfn.IFS(H116="","", H116&lt;=2,"Low", H116&lt;=5,"Mid", H116&lt;=8,"High", TRUE,"Out of Range")</f>
        <v>Low</v>
      </c>
      <c r="G116" s="51" t="s">
        <v>18</v>
      </c>
      <c r="H116" s="52">
        <v>2</v>
      </c>
      <c r="I116" s="53">
        <v>46164</v>
      </c>
      <c r="J116" s="53">
        <v>46167</v>
      </c>
      <c r="K116" s="54">
        <f>H116/$O$5</f>
        <v>2</v>
      </c>
      <c r="L116" s="102" t="s">
        <v>22</v>
      </c>
    </row>
    <row r="117" spans="1:12">
      <c r="A117" s="51" t="s">
        <v>164</v>
      </c>
      <c r="B117" s="81" t="s">
        <v>84</v>
      </c>
      <c r="C117" s="51" t="s">
        <v>187</v>
      </c>
      <c r="D117" s="51" t="s">
        <v>55</v>
      </c>
      <c r="E117" s="51" t="s">
        <v>192</v>
      </c>
      <c r="F117" s="45" t="str" cm="1">
        <f t="array" ref="F117">_xlfn.IFS(H117="","", H117&lt;=2,"Low", H117&lt;=5,"Mid", H117&lt;=8,"High", TRUE,"Out of Range")</f>
        <v>Low</v>
      </c>
      <c r="G117" s="51" t="s">
        <v>57</v>
      </c>
      <c r="H117" s="52">
        <v>1</v>
      </c>
      <c r="I117" s="53">
        <v>46168</v>
      </c>
      <c r="J117" s="53">
        <v>46168</v>
      </c>
      <c r="K117" s="54">
        <f>H117/$O$5</f>
        <v>1</v>
      </c>
      <c r="L117" s="102" t="s">
        <v>22</v>
      </c>
    </row>
    <row r="118" spans="1:12">
      <c r="A118" s="51" t="s">
        <v>164</v>
      </c>
      <c r="B118" s="81" t="s">
        <v>84</v>
      </c>
      <c r="C118" s="51" t="s">
        <v>193</v>
      </c>
      <c r="D118" s="51" t="s">
        <v>46</v>
      </c>
      <c r="E118" s="51" t="s">
        <v>194</v>
      </c>
      <c r="F118" s="45" t="str" cm="1">
        <f t="array" ref="F118">_xlfn.IFS(H118="","", H118&lt;=2,"Low", H118&lt;=5,"Mid", H118&lt;=8,"High", TRUE,"Out of Range")</f>
        <v>Low</v>
      </c>
      <c r="G118" s="51" t="s">
        <v>57</v>
      </c>
      <c r="H118" s="52">
        <v>2</v>
      </c>
      <c r="I118" s="53">
        <v>46164</v>
      </c>
      <c r="J118" s="53">
        <v>46167</v>
      </c>
      <c r="K118" s="54">
        <f>H118/$O$5</f>
        <v>2</v>
      </c>
      <c r="L118" s="102" t="s">
        <v>22</v>
      </c>
    </row>
    <row r="119" spans="1:12">
      <c r="A119" s="51" t="s">
        <v>164</v>
      </c>
      <c r="B119" s="81" t="s">
        <v>84</v>
      </c>
      <c r="C119" s="51" t="s">
        <v>193</v>
      </c>
      <c r="D119" s="51" t="s">
        <v>46</v>
      </c>
      <c r="E119" s="51" t="s">
        <v>195</v>
      </c>
      <c r="F119" s="45" t="str" cm="1">
        <f t="array" ref="F119">_xlfn.IFS(H119="","", H119&lt;=2,"Low", H119&lt;=5,"Mid", H119&lt;=8,"High", TRUE,"Out of Range")</f>
        <v>Low</v>
      </c>
      <c r="G119" s="51" t="s">
        <v>57</v>
      </c>
      <c r="H119" s="52">
        <v>2</v>
      </c>
      <c r="I119" s="53">
        <v>46169</v>
      </c>
      <c r="J119" s="53">
        <v>46170</v>
      </c>
      <c r="K119" s="54">
        <f>H119/$O$5</f>
        <v>2</v>
      </c>
      <c r="L119" s="102" t="s">
        <v>22</v>
      </c>
    </row>
    <row r="120" spans="1:12">
      <c r="A120" s="51" t="s">
        <v>164</v>
      </c>
      <c r="B120" s="81" t="s">
        <v>84</v>
      </c>
      <c r="C120" s="51" t="s">
        <v>193</v>
      </c>
      <c r="D120" s="51" t="s">
        <v>50</v>
      </c>
      <c r="E120" s="51" t="s">
        <v>196</v>
      </c>
      <c r="F120" s="45" t="str" cm="1">
        <f t="array" ref="F120">_xlfn.IFS(H120="","", H120&lt;=2,"Low", H120&lt;=5,"Mid", H120&lt;=8,"High", TRUE,"Out of Range")</f>
        <v>Low</v>
      </c>
      <c r="G120" s="51" t="s">
        <v>62</v>
      </c>
      <c r="H120" s="52">
        <v>2</v>
      </c>
      <c r="I120" s="53">
        <v>46171</v>
      </c>
      <c r="J120" s="53">
        <v>46174</v>
      </c>
      <c r="K120" s="54">
        <f>H120/$O$8</f>
        <v>2</v>
      </c>
      <c r="L120" s="102" t="s">
        <v>22</v>
      </c>
    </row>
    <row r="121" spans="1:12">
      <c r="A121" s="51" t="s">
        <v>164</v>
      </c>
      <c r="B121" s="81" t="s">
        <v>84</v>
      </c>
      <c r="C121" s="51" t="s">
        <v>193</v>
      </c>
      <c r="D121" s="51" t="s">
        <v>50</v>
      </c>
      <c r="E121" s="51" t="s">
        <v>197</v>
      </c>
      <c r="F121" s="45" t="str" cm="1">
        <f t="array" ref="F121">_xlfn.IFS(H121="","", H121&lt;=2,"Low", H121&lt;=5,"Mid", H121&lt;=8,"High", TRUE,"Out of Range")</f>
        <v>Low</v>
      </c>
      <c r="G121" s="51" t="s">
        <v>18</v>
      </c>
      <c r="H121" s="52">
        <v>2</v>
      </c>
      <c r="I121" s="53">
        <v>46171</v>
      </c>
      <c r="J121" s="53">
        <v>46174</v>
      </c>
      <c r="K121" s="54">
        <f>H121/$O$5</f>
        <v>2</v>
      </c>
      <c r="L121" s="102" t="s">
        <v>22</v>
      </c>
    </row>
    <row r="122" spans="1:12">
      <c r="A122" s="51" t="s">
        <v>166</v>
      </c>
      <c r="B122" s="81" t="s">
        <v>84</v>
      </c>
      <c r="C122" s="51" t="s">
        <v>193</v>
      </c>
      <c r="D122" s="51" t="s">
        <v>55</v>
      </c>
      <c r="E122" s="51" t="s">
        <v>198</v>
      </c>
      <c r="F122" s="45" t="str" cm="1">
        <f t="array" ref="F122">_xlfn.IFS(H122="","", H122&lt;=2,"Low", H122&lt;=5,"Mid", H122&lt;=8,"High", TRUE,"Out of Range")</f>
        <v>Low</v>
      </c>
      <c r="G122" s="51" t="s">
        <v>57</v>
      </c>
      <c r="H122" s="52">
        <v>1</v>
      </c>
      <c r="I122" s="53">
        <v>46175</v>
      </c>
      <c r="J122" s="53">
        <v>46175</v>
      </c>
      <c r="K122" s="54">
        <f>H122/$O$5</f>
        <v>1</v>
      </c>
      <c r="L122" s="102" t="s">
        <v>22</v>
      </c>
    </row>
    <row r="123" spans="1:12">
      <c r="A123" s="51" t="s">
        <v>166</v>
      </c>
      <c r="B123" s="81" t="s">
        <v>84</v>
      </c>
      <c r="C123" s="77" t="s">
        <v>199</v>
      </c>
      <c r="D123" s="51" t="s">
        <v>46</v>
      </c>
      <c r="E123" s="51" t="s">
        <v>200</v>
      </c>
      <c r="F123" s="45" t="str" cm="1">
        <f t="array" ref="F123">_xlfn.IFS(H123="","", H123&lt;=2,"Low", H123&lt;=5,"Mid", H123&lt;=8,"High", TRUE,"Out of Range")</f>
        <v>Low</v>
      </c>
      <c r="G123" s="51" t="s">
        <v>57</v>
      </c>
      <c r="H123" s="52">
        <v>1</v>
      </c>
      <c r="I123" s="53">
        <v>46171</v>
      </c>
      <c r="J123" s="53">
        <v>46171</v>
      </c>
      <c r="K123" s="54">
        <f>H123/$O$5</f>
        <v>1</v>
      </c>
      <c r="L123" s="102" t="s">
        <v>22</v>
      </c>
    </row>
    <row r="124" spans="1:12">
      <c r="A124" s="51" t="s">
        <v>166</v>
      </c>
      <c r="B124" s="81" t="s">
        <v>84</v>
      </c>
      <c r="C124" s="77" t="s">
        <v>199</v>
      </c>
      <c r="D124" s="51" t="s">
        <v>46</v>
      </c>
      <c r="E124" s="51" t="s">
        <v>201</v>
      </c>
      <c r="F124" s="45" t="str" cm="1">
        <f t="array" ref="F124">_xlfn.IFS(H124="","", H124&lt;=2,"Low", H124&lt;=5,"Mid", H124&lt;=8,"High", TRUE,"Out of Range")</f>
        <v>Low</v>
      </c>
      <c r="G124" s="51" t="s">
        <v>57</v>
      </c>
      <c r="H124" s="52">
        <v>1</v>
      </c>
      <c r="I124" s="53">
        <v>46174</v>
      </c>
      <c r="J124" s="53">
        <v>46174</v>
      </c>
      <c r="K124" s="54">
        <f>H124/$O$5</f>
        <v>1</v>
      </c>
      <c r="L124" s="102" t="s">
        <v>22</v>
      </c>
    </row>
    <row r="125" spans="1:12">
      <c r="A125" s="51" t="s">
        <v>166</v>
      </c>
      <c r="B125" s="81" t="s">
        <v>84</v>
      </c>
      <c r="C125" s="77" t="s">
        <v>199</v>
      </c>
      <c r="D125" s="51" t="s">
        <v>50</v>
      </c>
      <c r="E125" s="51" t="s">
        <v>202</v>
      </c>
      <c r="F125" s="45" t="str" cm="1">
        <f t="array" ref="F125">_xlfn.IFS(H125="","", H125&lt;=2,"Low", H125&lt;=5,"Mid", H125&lt;=8,"High", TRUE,"Out of Range")</f>
        <v>Low</v>
      </c>
      <c r="G125" s="51" t="s">
        <v>62</v>
      </c>
      <c r="H125" s="52">
        <v>1</v>
      </c>
      <c r="I125" s="53">
        <v>46175</v>
      </c>
      <c r="J125" s="53">
        <v>46175</v>
      </c>
      <c r="K125" s="54">
        <f>H125/$O$8</f>
        <v>1</v>
      </c>
      <c r="L125" s="102" t="s">
        <v>22</v>
      </c>
    </row>
    <row r="126" spans="1:12">
      <c r="A126" s="51" t="s">
        <v>172</v>
      </c>
      <c r="B126" s="81" t="s">
        <v>84</v>
      </c>
      <c r="C126" s="77" t="s">
        <v>199</v>
      </c>
      <c r="D126" s="51" t="s">
        <v>50</v>
      </c>
      <c r="E126" s="51" t="s">
        <v>203</v>
      </c>
      <c r="F126" s="45" t="str" cm="1">
        <f t="array" ref="F126">_xlfn.IFS(H126="","", H126&lt;=2,"Low", H126&lt;=5,"Mid", H126&lt;=8,"High", TRUE,"Out of Range")</f>
        <v>Low</v>
      </c>
      <c r="G126" s="51" t="s">
        <v>18</v>
      </c>
      <c r="H126" s="52">
        <v>2</v>
      </c>
      <c r="I126" s="53">
        <v>46175</v>
      </c>
      <c r="J126" s="53">
        <v>46176</v>
      </c>
      <c r="K126" s="54">
        <f>H126/$O$5</f>
        <v>2</v>
      </c>
      <c r="L126" s="102" t="s">
        <v>22</v>
      </c>
    </row>
    <row r="127" spans="1:12">
      <c r="A127" s="51" t="s">
        <v>172</v>
      </c>
      <c r="B127" s="81" t="s">
        <v>84</v>
      </c>
      <c r="C127" s="77" t="s">
        <v>199</v>
      </c>
      <c r="D127" s="51" t="s">
        <v>55</v>
      </c>
      <c r="E127" s="51" t="s">
        <v>204</v>
      </c>
      <c r="F127" s="45" t="str" cm="1">
        <f t="array" ref="F127">_xlfn.IFS(H127="","", H127&lt;=2,"Low", H127&lt;=5,"Mid", H127&lt;=8,"High", TRUE,"Out of Range")</f>
        <v>Low</v>
      </c>
      <c r="G127" s="51" t="s">
        <v>57</v>
      </c>
      <c r="H127" s="52">
        <v>1</v>
      </c>
      <c r="I127" s="53">
        <v>46177</v>
      </c>
      <c r="J127" s="53">
        <v>46177</v>
      </c>
      <c r="K127" s="54">
        <f>H127/$O$5</f>
        <v>1</v>
      </c>
      <c r="L127" s="102" t="s">
        <v>22</v>
      </c>
    </row>
    <row r="128" spans="1:12">
      <c r="A128" s="51" t="s">
        <v>172</v>
      </c>
      <c r="B128" s="81" t="s">
        <v>84</v>
      </c>
      <c r="C128" s="77" t="s">
        <v>205</v>
      </c>
      <c r="D128" s="51" t="s">
        <v>46</v>
      </c>
      <c r="E128" s="51" t="s">
        <v>206</v>
      </c>
      <c r="F128" s="45" t="str" cm="1">
        <f t="array" ref="F128">_xlfn.IFS(H128="","", H128&lt;=2,"Low", H128&lt;=5,"Mid", H128&lt;=8,"High", TRUE,"Out of Range")</f>
        <v>Low</v>
      </c>
      <c r="G128" s="51" t="s">
        <v>57</v>
      </c>
      <c r="H128" s="52">
        <v>1</v>
      </c>
      <c r="I128" s="53">
        <v>46176</v>
      </c>
      <c r="J128" s="53">
        <v>46176</v>
      </c>
      <c r="K128" s="54">
        <f>H128/$O$5</f>
        <v>1</v>
      </c>
      <c r="L128" s="102" t="s">
        <v>22</v>
      </c>
    </row>
    <row r="129" spans="1:12">
      <c r="A129" s="51" t="s">
        <v>172</v>
      </c>
      <c r="B129" s="81" t="s">
        <v>84</v>
      </c>
      <c r="C129" s="77" t="s">
        <v>205</v>
      </c>
      <c r="D129" s="51" t="s">
        <v>46</v>
      </c>
      <c r="E129" s="51" t="s">
        <v>207</v>
      </c>
      <c r="F129" s="45" t="str" cm="1">
        <f t="array" ref="F129">_xlfn.IFS(H129="","", H129&lt;=2,"Low", H129&lt;=5,"Mid", H129&lt;=8,"High", TRUE,"Out of Range")</f>
        <v>Low</v>
      </c>
      <c r="G129" s="51" t="s">
        <v>57</v>
      </c>
      <c r="H129" s="52">
        <v>1</v>
      </c>
      <c r="I129" s="53">
        <v>46178</v>
      </c>
      <c r="J129" s="53">
        <v>46178</v>
      </c>
      <c r="K129" s="54">
        <f>H129/$O$5</f>
        <v>1</v>
      </c>
      <c r="L129" s="102" t="s">
        <v>22</v>
      </c>
    </row>
    <row r="130" spans="1:12">
      <c r="A130" s="51" t="s">
        <v>208</v>
      </c>
      <c r="B130" s="81" t="s">
        <v>84</v>
      </c>
      <c r="C130" s="77" t="s">
        <v>205</v>
      </c>
      <c r="D130" s="51" t="s">
        <v>50</v>
      </c>
      <c r="E130" s="51" t="s">
        <v>209</v>
      </c>
      <c r="F130" s="45" t="str" cm="1">
        <f t="array" ref="F130">_xlfn.IFS(H130="","", H130&lt;=2,"Low", H130&lt;=5,"Mid", H130&lt;=8,"High", TRUE,"Out of Range")</f>
        <v>Low</v>
      </c>
      <c r="G130" s="51" t="s">
        <v>62</v>
      </c>
      <c r="H130" s="52">
        <v>1</v>
      </c>
      <c r="I130" s="53">
        <v>46181</v>
      </c>
      <c r="J130" s="53">
        <v>46181</v>
      </c>
      <c r="K130" s="54">
        <f>H130/$O$8</f>
        <v>1</v>
      </c>
      <c r="L130" s="102" t="s">
        <v>22</v>
      </c>
    </row>
    <row r="131" spans="1:12">
      <c r="A131" s="51" t="s">
        <v>208</v>
      </c>
      <c r="B131" s="81" t="s">
        <v>84</v>
      </c>
      <c r="C131" s="77" t="s">
        <v>205</v>
      </c>
      <c r="D131" s="51" t="s">
        <v>50</v>
      </c>
      <c r="E131" s="51" t="s">
        <v>210</v>
      </c>
      <c r="F131" s="45" t="str" cm="1">
        <f t="array" ref="F131">_xlfn.IFS(H131="","", H131&lt;=2,"Low", H131&lt;=5,"Mid", H131&lt;=8,"High", TRUE,"Out of Range")</f>
        <v>Low</v>
      </c>
      <c r="G131" s="51" t="s">
        <v>18</v>
      </c>
      <c r="H131" s="52">
        <v>2</v>
      </c>
      <c r="I131" s="53">
        <v>46181</v>
      </c>
      <c r="J131" s="53">
        <v>46182</v>
      </c>
      <c r="K131" s="54">
        <f>H131/$O$5</f>
        <v>2</v>
      </c>
      <c r="L131" s="102" t="s">
        <v>22</v>
      </c>
    </row>
    <row r="132" spans="1:12">
      <c r="A132" s="51" t="s">
        <v>208</v>
      </c>
      <c r="B132" s="81" t="s">
        <v>84</v>
      </c>
      <c r="C132" s="77" t="s">
        <v>205</v>
      </c>
      <c r="D132" s="51" t="s">
        <v>55</v>
      </c>
      <c r="E132" s="51" t="s">
        <v>211</v>
      </c>
      <c r="F132" s="45" t="str" cm="1">
        <f t="array" ref="F132">_xlfn.IFS(H132="","", H132&lt;=2,"Low", H132&lt;=5,"Mid", H132&lt;=8,"High", TRUE,"Out of Range")</f>
        <v>Low</v>
      </c>
      <c r="G132" s="51" t="s">
        <v>57</v>
      </c>
      <c r="H132" s="52">
        <v>1</v>
      </c>
      <c r="I132" s="53">
        <v>46183</v>
      </c>
      <c r="J132" s="53">
        <v>46183</v>
      </c>
      <c r="K132" s="54">
        <f>H132/$O$5</f>
        <v>1</v>
      </c>
      <c r="L132" s="102" t="s">
        <v>22</v>
      </c>
    </row>
    <row r="133" spans="1:12">
      <c r="A133" s="51" t="s">
        <v>208</v>
      </c>
      <c r="B133" s="81" t="s">
        <v>84</v>
      </c>
      <c r="C133" s="77" t="s">
        <v>212</v>
      </c>
      <c r="D133" s="51" t="s">
        <v>46</v>
      </c>
      <c r="E133" s="51" t="s">
        <v>213</v>
      </c>
      <c r="F133" s="45" t="str" cm="1">
        <f t="array" ref="F133">_xlfn.IFS(H133="","", H133&lt;=2,"Low", H133&lt;=5,"Mid", H133&lt;=8,"High", TRUE,"Out of Range")</f>
        <v>Low</v>
      </c>
      <c r="G133" s="51" t="s">
        <v>57</v>
      </c>
      <c r="H133" s="52">
        <v>1</v>
      </c>
      <c r="I133" s="53">
        <v>46181</v>
      </c>
      <c r="J133" s="53">
        <v>46181</v>
      </c>
      <c r="K133" s="54">
        <f>H133/$O$5</f>
        <v>1</v>
      </c>
      <c r="L133" s="102" t="s">
        <v>22</v>
      </c>
    </row>
    <row r="134" spans="1:12">
      <c r="A134" s="51" t="s">
        <v>208</v>
      </c>
      <c r="B134" s="81" t="s">
        <v>84</v>
      </c>
      <c r="C134" s="77" t="s">
        <v>212</v>
      </c>
      <c r="D134" s="51" t="s">
        <v>46</v>
      </c>
      <c r="E134" s="51" t="s">
        <v>214</v>
      </c>
      <c r="F134" s="45" t="str" cm="1">
        <f t="array" ref="F134">_xlfn.IFS(H134="","", H134&lt;=2,"Low", H134&lt;=5,"Mid", H134&lt;=8,"High", TRUE,"Out of Range")</f>
        <v>Low</v>
      </c>
      <c r="G134" s="51" t="s">
        <v>57</v>
      </c>
      <c r="H134" s="52">
        <v>1</v>
      </c>
      <c r="I134" s="53">
        <v>46182</v>
      </c>
      <c r="J134" s="53">
        <v>46182</v>
      </c>
      <c r="K134" s="54">
        <f>H134/$O$5</f>
        <v>1</v>
      </c>
      <c r="L134" s="102" t="s">
        <v>22</v>
      </c>
    </row>
    <row r="135" spans="1:12">
      <c r="A135" s="51" t="s">
        <v>215</v>
      </c>
      <c r="B135" s="81" t="s">
        <v>84</v>
      </c>
      <c r="C135" s="77" t="s">
        <v>212</v>
      </c>
      <c r="D135" s="51" t="s">
        <v>50</v>
      </c>
      <c r="E135" s="51" t="s">
        <v>216</v>
      </c>
      <c r="F135" s="45" t="str" cm="1">
        <f t="array" ref="F135">_xlfn.IFS(H135="","", H135&lt;=2,"Low", H135&lt;=5,"Mid", H135&lt;=8,"High", TRUE,"Out of Range")</f>
        <v>Low</v>
      </c>
      <c r="G135" s="51" t="s">
        <v>62</v>
      </c>
      <c r="H135" s="52">
        <v>1</v>
      </c>
      <c r="I135" s="53">
        <v>46183</v>
      </c>
      <c r="J135" s="53">
        <v>46183</v>
      </c>
      <c r="K135" s="54">
        <f>H135/$O$8</f>
        <v>1</v>
      </c>
      <c r="L135" s="102" t="s">
        <v>22</v>
      </c>
    </row>
    <row r="136" spans="1:12">
      <c r="A136" s="51" t="s">
        <v>215</v>
      </c>
      <c r="B136" s="81" t="s">
        <v>84</v>
      </c>
      <c r="C136" s="77" t="s">
        <v>212</v>
      </c>
      <c r="D136" s="51" t="s">
        <v>50</v>
      </c>
      <c r="E136" s="51" t="s">
        <v>217</v>
      </c>
      <c r="F136" s="45" t="str" cm="1">
        <f t="array" ref="F136">_xlfn.IFS(H136="","", H136&lt;=2,"Low", H136&lt;=5,"Mid", H136&lt;=8,"High", TRUE,"Out of Range")</f>
        <v>Low</v>
      </c>
      <c r="G136" s="51" t="s">
        <v>18</v>
      </c>
      <c r="H136" s="52">
        <v>2</v>
      </c>
      <c r="I136" s="53">
        <v>46183</v>
      </c>
      <c r="J136" s="53">
        <v>46184</v>
      </c>
      <c r="K136" s="54">
        <f>H136/$O$5</f>
        <v>2</v>
      </c>
      <c r="L136" s="102" t="s">
        <v>22</v>
      </c>
    </row>
    <row r="137" spans="1:12">
      <c r="A137" s="51" t="s">
        <v>215</v>
      </c>
      <c r="B137" s="81" t="s">
        <v>84</v>
      </c>
      <c r="C137" s="77" t="s">
        <v>212</v>
      </c>
      <c r="D137" s="51" t="s">
        <v>55</v>
      </c>
      <c r="E137" s="51" t="s">
        <v>218</v>
      </c>
      <c r="F137" s="45" t="str" cm="1">
        <f t="array" ref="F137">_xlfn.IFS(H137="","", H137&lt;=2,"Low", H137&lt;=5,"Mid", H137&lt;=8,"High", TRUE,"Out of Range")</f>
        <v>Low</v>
      </c>
      <c r="G137" s="51" t="s">
        <v>57</v>
      </c>
      <c r="H137" s="52">
        <v>1</v>
      </c>
      <c r="I137" s="53">
        <v>46185</v>
      </c>
      <c r="J137" s="53">
        <v>46185</v>
      </c>
      <c r="K137" s="54">
        <f>H137/$O$5</f>
        <v>1</v>
      </c>
      <c r="L137" s="102" t="s">
        <v>22</v>
      </c>
    </row>
    <row r="138" spans="1:12">
      <c r="A138" s="51" t="s">
        <v>100</v>
      </c>
      <c r="B138" s="81" t="s">
        <v>84</v>
      </c>
      <c r="C138" s="77" t="s">
        <v>219</v>
      </c>
      <c r="D138" s="51" t="s">
        <v>46</v>
      </c>
      <c r="E138" s="51" t="s">
        <v>220</v>
      </c>
      <c r="F138" s="45" t="str" cm="1">
        <f t="array" ref="F138">_xlfn.IFS(H138="","", H138&lt;=2,"Low", H138&lt;=5,"Mid", H138&lt;=8,"High", TRUE,"Out of Range")</f>
        <v>Low</v>
      </c>
      <c r="G138" s="51" t="s">
        <v>57</v>
      </c>
      <c r="H138" s="52">
        <v>1</v>
      </c>
      <c r="I138" s="53">
        <v>46184</v>
      </c>
      <c r="J138" s="53">
        <v>46184</v>
      </c>
      <c r="K138" s="54">
        <f>H138/$O$7</f>
        <v>1</v>
      </c>
      <c r="L138" s="102" t="s">
        <v>22</v>
      </c>
    </row>
    <row r="139" spans="1:12">
      <c r="A139" s="51" t="s">
        <v>100</v>
      </c>
      <c r="B139" s="81" t="s">
        <v>84</v>
      </c>
      <c r="C139" s="77" t="s">
        <v>219</v>
      </c>
      <c r="D139" s="51" t="s">
        <v>46</v>
      </c>
      <c r="E139" s="51" t="s">
        <v>221</v>
      </c>
      <c r="F139" s="45" t="str" cm="1">
        <f t="array" ref="F139">_xlfn.IFS(H139="","", H139&lt;=2,"Low", H139&lt;=5,"Mid", H139&lt;=8,"High", TRUE,"Out of Range")</f>
        <v>Low</v>
      </c>
      <c r="G139" s="51" t="s">
        <v>57</v>
      </c>
      <c r="H139" s="52">
        <v>1</v>
      </c>
      <c r="I139" s="53">
        <v>46188</v>
      </c>
      <c r="J139" s="53">
        <v>46188</v>
      </c>
      <c r="K139" s="54">
        <f>H139/$O$7</f>
        <v>1</v>
      </c>
      <c r="L139" s="102" t="s">
        <v>22</v>
      </c>
    </row>
    <row r="140" spans="1:12">
      <c r="A140" s="51" t="s">
        <v>107</v>
      </c>
      <c r="B140" s="81" t="s">
        <v>84</v>
      </c>
      <c r="C140" s="77" t="s">
        <v>219</v>
      </c>
      <c r="D140" s="51" t="s">
        <v>50</v>
      </c>
      <c r="E140" s="51" t="s">
        <v>222</v>
      </c>
      <c r="F140" s="45" t="str" cm="1">
        <f t="array" ref="F140">_xlfn.IFS(H140="","", H140&lt;=2,"Low", H140&lt;=5,"Mid", H140&lt;=8,"High", TRUE,"Out of Range")</f>
        <v>Mid</v>
      </c>
      <c r="G140" s="51" t="s">
        <v>62</v>
      </c>
      <c r="H140" s="52">
        <v>4</v>
      </c>
      <c r="I140" s="53">
        <v>46189</v>
      </c>
      <c r="J140" s="53">
        <v>46192</v>
      </c>
      <c r="K140" s="54">
        <f>H140/$O$8</f>
        <v>4</v>
      </c>
      <c r="L140" s="102" t="s">
        <v>22</v>
      </c>
    </row>
    <row r="141" spans="1:12">
      <c r="A141" s="51" t="s">
        <v>107</v>
      </c>
      <c r="B141" s="81" t="s">
        <v>84</v>
      </c>
      <c r="C141" s="77" t="s">
        <v>219</v>
      </c>
      <c r="D141" s="51" t="s">
        <v>50</v>
      </c>
      <c r="E141" s="51" t="s">
        <v>223</v>
      </c>
      <c r="F141" s="45" t="str" cm="1">
        <f t="array" ref="F141">_xlfn.IFS(H141="","", H141&lt;=2,"Low", H141&lt;=5,"Mid", H141&lt;=8,"High", TRUE,"Out of Range")</f>
        <v>Mid</v>
      </c>
      <c r="G141" s="51" t="s">
        <v>86</v>
      </c>
      <c r="H141" s="52">
        <v>4</v>
      </c>
      <c r="I141" s="53">
        <v>46189</v>
      </c>
      <c r="J141" s="53">
        <v>46195</v>
      </c>
      <c r="K141" s="54">
        <f>H141/$O$7</f>
        <v>4</v>
      </c>
      <c r="L141" s="102" t="s">
        <v>22</v>
      </c>
    </row>
    <row r="142" spans="1:12">
      <c r="A142" s="51" t="s">
        <v>107</v>
      </c>
      <c r="B142" s="81" t="s">
        <v>84</v>
      </c>
      <c r="C142" s="77" t="s">
        <v>219</v>
      </c>
      <c r="D142" s="51" t="s">
        <v>55</v>
      </c>
      <c r="E142" s="51" t="s">
        <v>224</v>
      </c>
      <c r="F142" s="45" t="str" cm="1">
        <f t="array" ref="F142">_xlfn.IFS(H142="","", H142&lt;=2,"Low", H142&lt;=5,"Mid", H142&lt;=8,"High", TRUE,"Out of Range")</f>
        <v>Low</v>
      </c>
      <c r="G142" s="51" t="s">
        <v>57</v>
      </c>
      <c r="H142" s="52">
        <v>2</v>
      </c>
      <c r="I142" s="53">
        <v>46196</v>
      </c>
      <c r="J142" s="53">
        <v>46197</v>
      </c>
      <c r="K142" s="54">
        <f>H142/$O$5</f>
        <v>2</v>
      </c>
      <c r="L142" s="102" t="s">
        <v>22</v>
      </c>
    </row>
    <row r="143" spans="1:12">
      <c r="A143" s="51" t="s">
        <v>113</v>
      </c>
      <c r="B143" s="81" t="s">
        <v>84</v>
      </c>
      <c r="C143" s="77" t="s">
        <v>225</v>
      </c>
      <c r="D143" s="51" t="s">
        <v>46</v>
      </c>
      <c r="E143" s="51" t="s">
        <v>226</v>
      </c>
      <c r="F143" s="45" t="str" cm="1">
        <f t="array" ref="F143">_xlfn.IFS(H143="","", H143&lt;=2,"Low", H143&lt;=5,"Mid", H143&lt;=8,"High", TRUE,"Out of Range")</f>
        <v>Low</v>
      </c>
      <c r="G143" s="51" t="s">
        <v>57</v>
      </c>
      <c r="H143" s="52">
        <v>2</v>
      </c>
      <c r="I143" s="53">
        <v>46189</v>
      </c>
      <c r="J143" s="53">
        <v>46191</v>
      </c>
      <c r="K143" s="54">
        <f>H143/$O$7</f>
        <v>2</v>
      </c>
      <c r="L143" s="102" t="s">
        <v>22</v>
      </c>
    </row>
    <row r="144" spans="1:12">
      <c r="A144" s="51" t="s">
        <v>113</v>
      </c>
      <c r="B144" s="81" t="s">
        <v>84</v>
      </c>
      <c r="C144" s="77" t="s">
        <v>225</v>
      </c>
      <c r="D144" s="51" t="s">
        <v>46</v>
      </c>
      <c r="E144" s="51" t="s">
        <v>227</v>
      </c>
      <c r="F144" s="45" t="str" cm="1">
        <f t="array" ref="F144">_xlfn.IFS(H144="","", H144&lt;=2,"Low", H144&lt;=5,"Mid", H144&lt;=8,"High", TRUE,"Out of Range")</f>
        <v>Low</v>
      </c>
      <c r="G144" s="51" t="s">
        <v>57</v>
      </c>
      <c r="H144" s="52">
        <v>2</v>
      </c>
      <c r="I144" s="53">
        <v>46198</v>
      </c>
      <c r="J144" s="53">
        <v>46199</v>
      </c>
      <c r="K144" s="54">
        <f>H144/$O$7</f>
        <v>2</v>
      </c>
      <c r="L144" s="102" t="s">
        <v>22</v>
      </c>
    </row>
    <row r="145" spans="1:12">
      <c r="A145" s="51" t="s">
        <v>113</v>
      </c>
      <c r="B145" s="81" t="s">
        <v>84</v>
      </c>
      <c r="C145" s="77" t="s">
        <v>225</v>
      </c>
      <c r="D145" s="51" t="s">
        <v>50</v>
      </c>
      <c r="E145" s="51" t="s">
        <v>228</v>
      </c>
      <c r="F145" s="45" t="str" cm="1">
        <f t="array" ref="F145">_xlfn.IFS(H145="","", H145&lt;=2,"Low", H145&lt;=5,"Mid", H145&lt;=8,"High", TRUE,"Out of Range")</f>
        <v>Mid</v>
      </c>
      <c r="G145" s="51" t="s">
        <v>62</v>
      </c>
      <c r="H145" s="52">
        <v>3</v>
      </c>
      <c r="I145" s="53">
        <v>46202</v>
      </c>
      <c r="J145" s="53">
        <v>46204</v>
      </c>
      <c r="K145" s="54">
        <f>H145/$O$8</f>
        <v>3</v>
      </c>
      <c r="L145" s="102" t="s">
        <v>22</v>
      </c>
    </row>
    <row r="146" spans="1:12">
      <c r="A146" s="51" t="s">
        <v>115</v>
      </c>
      <c r="B146" s="81" t="s">
        <v>84</v>
      </c>
      <c r="C146" s="77" t="s">
        <v>225</v>
      </c>
      <c r="D146" s="51" t="s">
        <v>50</v>
      </c>
      <c r="E146" s="51" t="s">
        <v>229</v>
      </c>
      <c r="F146" s="45" t="str" cm="1">
        <f t="array" ref="F146">_xlfn.IFS(H146="","", H146&lt;=2,"Low", H146&lt;=5,"Mid", H146&lt;=8,"High", TRUE,"Out of Range")</f>
        <v>Mid</v>
      </c>
      <c r="G146" s="51" t="s">
        <v>18</v>
      </c>
      <c r="H146" s="52">
        <v>5</v>
      </c>
      <c r="I146" s="53">
        <v>46202</v>
      </c>
      <c r="J146" s="53">
        <v>46206</v>
      </c>
      <c r="K146" s="54">
        <f>H146/$O$5</f>
        <v>5</v>
      </c>
      <c r="L146" s="102" t="s">
        <v>22</v>
      </c>
    </row>
    <row r="147" spans="1:12">
      <c r="A147" s="51" t="s">
        <v>115</v>
      </c>
      <c r="B147" s="81" t="s">
        <v>84</v>
      </c>
      <c r="C147" s="77" t="s">
        <v>225</v>
      </c>
      <c r="D147" s="51" t="s">
        <v>55</v>
      </c>
      <c r="E147" s="51" t="s">
        <v>230</v>
      </c>
      <c r="F147" s="45" t="str" cm="1">
        <f t="array" ref="F147">_xlfn.IFS(H147="","", H147&lt;=2,"Low", H147&lt;=5,"Mid", H147&lt;=8,"High", TRUE,"Out of Range")</f>
        <v>Low</v>
      </c>
      <c r="G147" s="51" t="s">
        <v>57</v>
      </c>
      <c r="H147" s="52">
        <v>2</v>
      </c>
      <c r="I147" s="53">
        <v>46209</v>
      </c>
      <c r="J147" s="53">
        <v>46210</v>
      </c>
      <c r="K147" s="54">
        <f>H147/$O$5</f>
        <v>2</v>
      </c>
      <c r="L147" s="102" t="s">
        <v>22</v>
      </c>
    </row>
    <row r="148" spans="1:12">
      <c r="A148" s="51" t="s">
        <v>115</v>
      </c>
      <c r="B148" s="81" t="s">
        <v>84</v>
      </c>
      <c r="C148" s="77" t="s">
        <v>231</v>
      </c>
      <c r="D148" s="51" t="s">
        <v>46</v>
      </c>
      <c r="E148" s="51" t="s">
        <v>232</v>
      </c>
      <c r="F148" s="45" t="str" cm="1">
        <f t="array" ref="F148">_xlfn.IFS(H148="","", H148&lt;=2,"Low", H148&lt;=5,"Mid", H148&lt;=8,"High", TRUE,"Out of Range")</f>
        <v>Low</v>
      </c>
      <c r="G148" s="51" t="s">
        <v>57</v>
      </c>
      <c r="H148" s="52">
        <v>1</v>
      </c>
      <c r="I148" s="53">
        <v>46202</v>
      </c>
      <c r="J148" s="53">
        <v>46202</v>
      </c>
      <c r="K148" s="54">
        <f>H148/$O$7</f>
        <v>1</v>
      </c>
      <c r="L148" s="102" t="s">
        <v>22</v>
      </c>
    </row>
    <row r="149" spans="1:12">
      <c r="A149" s="51" t="s">
        <v>121</v>
      </c>
      <c r="B149" s="81" t="s">
        <v>84</v>
      </c>
      <c r="C149" s="77" t="s">
        <v>231</v>
      </c>
      <c r="D149" s="51" t="s">
        <v>46</v>
      </c>
      <c r="E149" s="51" t="s">
        <v>233</v>
      </c>
      <c r="F149" s="45" t="str" cm="1">
        <f t="array" ref="F149">_xlfn.IFS(H149="","", H149&lt;=2,"Low", H149&lt;=5,"Mid", H149&lt;=8,"High", TRUE,"Out of Range")</f>
        <v>Low</v>
      </c>
      <c r="G149" s="51" t="s">
        <v>57</v>
      </c>
      <c r="H149" s="52">
        <v>1</v>
      </c>
      <c r="I149" s="53">
        <v>46203</v>
      </c>
      <c r="J149" s="53">
        <v>46203</v>
      </c>
      <c r="K149" s="54">
        <f>H149/$O$7</f>
        <v>1</v>
      </c>
      <c r="L149" s="102" t="s">
        <v>22</v>
      </c>
    </row>
    <row r="150" spans="1:12">
      <c r="A150" s="51" t="s">
        <v>121</v>
      </c>
      <c r="B150" s="81" t="s">
        <v>84</v>
      </c>
      <c r="C150" s="77" t="s">
        <v>231</v>
      </c>
      <c r="D150" s="51" t="s">
        <v>50</v>
      </c>
      <c r="E150" s="51" t="s">
        <v>234</v>
      </c>
      <c r="F150" s="45" t="str" cm="1">
        <f t="array" ref="F150">_xlfn.IFS(H150="","", H150&lt;=2,"Low", H150&lt;=5,"Mid", H150&lt;=8,"High", TRUE,"Out of Range")</f>
        <v>Low</v>
      </c>
      <c r="G150" s="51" t="s">
        <v>62</v>
      </c>
      <c r="H150" s="52">
        <v>1</v>
      </c>
      <c r="I150" s="53">
        <v>46204</v>
      </c>
      <c r="J150" s="53">
        <v>46204</v>
      </c>
      <c r="K150" s="54">
        <f>H150/$O$8</f>
        <v>1</v>
      </c>
      <c r="L150" s="102" t="s">
        <v>22</v>
      </c>
    </row>
    <row r="151" spans="1:12">
      <c r="A151" s="51" t="s">
        <v>121</v>
      </c>
      <c r="B151" s="81" t="s">
        <v>84</v>
      </c>
      <c r="C151" s="77" t="s">
        <v>231</v>
      </c>
      <c r="D151" s="51" t="s">
        <v>50</v>
      </c>
      <c r="E151" s="51" t="s">
        <v>235</v>
      </c>
      <c r="F151" s="45" t="str" cm="1">
        <f t="array" ref="F151">_xlfn.IFS(H151="","", H151&lt;=2,"Low", H151&lt;=5,"Mid", H151&lt;=8,"High", TRUE,"Out of Range")</f>
        <v>Low</v>
      </c>
      <c r="G151" s="51" t="s">
        <v>86</v>
      </c>
      <c r="H151" s="52">
        <v>2</v>
      </c>
      <c r="I151" s="53">
        <v>46204</v>
      </c>
      <c r="J151" s="53">
        <v>46205</v>
      </c>
      <c r="K151" s="54">
        <f>H151/$O$7</f>
        <v>2</v>
      </c>
      <c r="L151" s="102" t="s">
        <v>22</v>
      </c>
    </row>
    <row r="152" spans="1:12">
      <c r="A152" s="51" t="s">
        <v>121</v>
      </c>
      <c r="B152" s="81" t="s">
        <v>84</v>
      </c>
      <c r="C152" s="77" t="s">
        <v>231</v>
      </c>
      <c r="D152" s="51" t="s">
        <v>55</v>
      </c>
      <c r="E152" s="51" t="s">
        <v>236</v>
      </c>
      <c r="F152" s="45" t="str" cm="1">
        <f t="array" ref="F152">_xlfn.IFS(H152="","", H152&lt;=2,"Low", H152&lt;=5,"Mid", H152&lt;=8,"High", TRUE,"Out of Range")</f>
        <v>Low</v>
      </c>
      <c r="G152" s="51" t="s">
        <v>57</v>
      </c>
      <c r="H152" s="52">
        <v>1</v>
      </c>
      <c r="I152" s="53">
        <v>46211</v>
      </c>
      <c r="J152" s="53">
        <v>46211</v>
      </c>
      <c r="K152" s="54">
        <f>H152/$O$5</f>
        <v>1</v>
      </c>
      <c r="L152" s="102" t="s">
        <v>22</v>
      </c>
    </row>
    <row r="153" spans="1:12">
      <c r="A153" s="51" t="s">
        <v>121</v>
      </c>
      <c r="B153" s="81" t="s">
        <v>84</v>
      </c>
      <c r="C153" s="77" t="s">
        <v>237</v>
      </c>
      <c r="D153" s="51" t="s">
        <v>46</v>
      </c>
      <c r="E153" s="51" t="s">
        <v>238</v>
      </c>
      <c r="F153" s="45" t="str" cm="1">
        <f t="array" ref="F153">_xlfn.IFS(H153="","", H153&lt;=2,"Low", H153&lt;=5,"Mid", H153&lt;=8,"High", TRUE,"Out of Range")</f>
        <v>Low</v>
      </c>
      <c r="G153" s="51" t="s">
        <v>57</v>
      </c>
      <c r="H153" s="52">
        <v>1</v>
      </c>
      <c r="I153" s="53">
        <v>46212</v>
      </c>
      <c r="J153" s="53">
        <v>46212</v>
      </c>
      <c r="K153" s="54">
        <f>H153/$O$7</f>
        <v>1</v>
      </c>
      <c r="L153" s="102" t="s">
        <v>22</v>
      </c>
    </row>
    <row r="154" spans="1:12">
      <c r="A154" s="51" t="s">
        <v>125</v>
      </c>
      <c r="B154" s="81" t="s">
        <v>84</v>
      </c>
      <c r="C154" s="77" t="s">
        <v>237</v>
      </c>
      <c r="D154" s="51" t="s">
        <v>46</v>
      </c>
      <c r="E154" s="51" t="s">
        <v>239</v>
      </c>
      <c r="F154" s="45" t="str" cm="1">
        <f t="array" ref="F154">_xlfn.IFS(H154="","", H154&lt;=2,"Low", H154&lt;=5,"Mid", H154&lt;=8,"High", TRUE,"Out of Range")</f>
        <v>Low</v>
      </c>
      <c r="G154" s="51" t="s">
        <v>57</v>
      </c>
      <c r="H154" s="52">
        <v>1</v>
      </c>
      <c r="I154" s="53">
        <v>46213</v>
      </c>
      <c r="J154" s="53">
        <v>46213</v>
      </c>
      <c r="K154" s="54">
        <f>H154/$O$7</f>
        <v>1</v>
      </c>
      <c r="L154" s="102" t="s">
        <v>22</v>
      </c>
    </row>
    <row r="155" spans="1:12">
      <c r="A155" s="51" t="s">
        <v>125</v>
      </c>
      <c r="B155" s="81" t="s">
        <v>84</v>
      </c>
      <c r="C155" s="77" t="s">
        <v>237</v>
      </c>
      <c r="D155" s="51" t="s">
        <v>50</v>
      </c>
      <c r="E155" s="51" t="s">
        <v>240</v>
      </c>
      <c r="F155" s="45" t="str" cm="1">
        <f t="array" ref="F155">_xlfn.IFS(H155="","", H155&lt;=2,"Low", H155&lt;=5,"Mid", H155&lt;=8,"High", TRUE,"Out of Range")</f>
        <v>Mid</v>
      </c>
      <c r="G155" s="51" t="s">
        <v>62</v>
      </c>
      <c r="H155" s="52">
        <v>3</v>
      </c>
      <c r="I155" s="53">
        <v>46216</v>
      </c>
      <c r="J155" s="53">
        <v>46218</v>
      </c>
      <c r="K155" s="54">
        <f>H155/$O$8</f>
        <v>3</v>
      </c>
      <c r="L155" s="102" t="s">
        <v>22</v>
      </c>
    </row>
    <row r="156" spans="1:12">
      <c r="A156" s="51" t="s">
        <v>125</v>
      </c>
      <c r="B156" s="81" t="s">
        <v>84</v>
      </c>
      <c r="C156" s="77" t="s">
        <v>237</v>
      </c>
      <c r="D156" s="51" t="s">
        <v>50</v>
      </c>
      <c r="E156" s="51" t="s">
        <v>241</v>
      </c>
      <c r="F156" s="45" t="str" cm="1">
        <f t="array" ref="F156">_xlfn.IFS(H156="","", H156&lt;=2,"Low", H156&lt;=5,"Mid", H156&lt;=8,"High", TRUE,"Out of Range")</f>
        <v>Mid</v>
      </c>
      <c r="G156" s="51" t="s">
        <v>86</v>
      </c>
      <c r="H156" s="52">
        <v>4</v>
      </c>
      <c r="I156" s="53">
        <v>46216</v>
      </c>
      <c r="J156" s="53">
        <v>46219</v>
      </c>
      <c r="K156" s="54">
        <f>H156/$O$7</f>
        <v>4</v>
      </c>
      <c r="L156" s="102" t="s">
        <v>22</v>
      </c>
    </row>
    <row r="157" spans="1:12">
      <c r="A157" s="51" t="s">
        <v>149</v>
      </c>
      <c r="B157" s="81" t="s">
        <v>84</v>
      </c>
      <c r="C157" s="77" t="s">
        <v>237</v>
      </c>
      <c r="D157" s="51" t="s">
        <v>55</v>
      </c>
      <c r="E157" s="51" t="s">
        <v>242</v>
      </c>
      <c r="F157" s="45" t="str" cm="1">
        <f t="array" ref="F157">_xlfn.IFS(H157="","", H157&lt;=2,"Low", H157&lt;=5,"Mid", H157&lt;=8,"High", TRUE,"Out of Range")</f>
        <v>Low</v>
      </c>
      <c r="G157" s="51" t="s">
        <v>57</v>
      </c>
      <c r="H157" s="52">
        <v>2</v>
      </c>
      <c r="I157" s="53">
        <v>46220</v>
      </c>
      <c r="J157" s="53">
        <v>46223</v>
      </c>
      <c r="K157" s="54">
        <f>H157/$O$5</f>
        <v>2</v>
      </c>
      <c r="L157" s="102" t="s">
        <v>22</v>
      </c>
    </row>
    <row r="158" spans="1:12">
      <c r="A158" s="51" t="s">
        <v>149</v>
      </c>
      <c r="B158" s="81" t="s">
        <v>84</v>
      </c>
      <c r="C158" s="77" t="s">
        <v>243</v>
      </c>
      <c r="D158" s="51" t="s">
        <v>46</v>
      </c>
      <c r="E158" s="51" t="s">
        <v>244</v>
      </c>
      <c r="F158" s="45" t="str" cm="1">
        <f t="array" ref="F158">_xlfn.IFS(H158="","", H158&lt;=2,"Low", H158&lt;=5,"Mid", H158&lt;=8,"High", TRUE,"Out of Range")</f>
        <v>Low</v>
      </c>
      <c r="G158" s="51" t="s">
        <v>57</v>
      </c>
      <c r="H158" s="52">
        <v>1</v>
      </c>
      <c r="I158" s="53">
        <v>46216</v>
      </c>
      <c r="J158" s="53">
        <v>46216</v>
      </c>
      <c r="K158" s="54">
        <f>H158/$O$7</f>
        <v>1</v>
      </c>
      <c r="L158" s="102" t="s">
        <v>22</v>
      </c>
    </row>
    <row r="159" spans="1:12">
      <c r="A159" s="51" t="s">
        <v>149</v>
      </c>
      <c r="B159" s="81" t="s">
        <v>84</v>
      </c>
      <c r="C159" s="77" t="s">
        <v>243</v>
      </c>
      <c r="D159" s="51" t="s">
        <v>46</v>
      </c>
      <c r="E159" s="51" t="s">
        <v>245</v>
      </c>
      <c r="F159" s="45" t="str" cm="1">
        <f t="array" ref="F159">_xlfn.IFS(H159="","", H159&lt;=2,"Low", H159&lt;=5,"Mid", H159&lt;=8,"High", TRUE,"Out of Range")</f>
        <v>Low</v>
      </c>
      <c r="G159" s="51" t="s">
        <v>57</v>
      </c>
      <c r="H159" s="52">
        <v>1</v>
      </c>
      <c r="I159" s="53">
        <v>46217</v>
      </c>
      <c r="J159" s="53">
        <v>46217</v>
      </c>
      <c r="K159" s="54">
        <f>H159/$O$7</f>
        <v>1</v>
      </c>
      <c r="L159" s="102" t="s">
        <v>22</v>
      </c>
    </row>
    <row r="160" spans="1:12">
      <c r="A160" s="51" t="s">
        <v>149</v>
      </c>
      <c r="B160" s="81" t="s">
        <v>84</v>
      </c>
      <c r="C160" s="77" t="s">
        <v>243</v>
      </c>
      <c r="D160" s="51" t="s">
        <v>50</v>
      </c>
      <c r="E160" s="51" t="s">
        <v>246</v>
      </c>
      <c r="F160" s="45" t="str" cm="1">
        <f t="array" ref="F160">_xlfn.IFS(H160="","", H160&lt;=2,"Low", H160&lt;=5,"Mid", H160&lt;=8,"High", TRUE,"Out of Range")</f>
        <v>Low</v>
      </c>
      <c r="G160" s="51" t="s">
        <v>62</v>
      </c>
      <c r="H160" s="52">
        <v>2</v>
      </c>
      <c r="I160" s="53">
        <v>46218</v>
      </c>
      <c r="J160" s="53">
        <v>46219</v>
      </c>
      <c r="K160" s="54">
        <f>H160/$O$8</f>
        <v>2</v>
      </c>
      <c r="L160" s="102" t="s">
        <v>22</v>
      </c>
    </row>
    <row r="161" spans="1:12">
      <c r="A161" s="51" t="s">
        <v>151</v>
      </c>
      <c r="B161" s="81" t="s">
        <v>84</v>
      </c>
      <c r="C161" s="77" t="s">
        <v>243</v>
      </c>
      <c r="D161" s="51" t="s">
        <v>50</v>
      </c>
      <c r="E161" s="51" t="s">
        <v>247</v>
      </c>
      <c r="F161" s="45" t="str" cm="1">
        <f t="array" ref="F161">_xlfn.IFS(H161="","", H161&lt;=2,"Low", H161&lt;=5,"Mid", H161&lt;=8,"High", TRUE,"Out of Range")</f>
        <v>Low</v>
      </c>
      <c r="G161" s="51" t="s">
        <v>18</v>
      </c>
      <c r="H161" s="52">
        <v>2</v>
      </c>
      <c r="I161" s="53">
        <v>46220</v>
      </c>
      <c r="J161" s="53">
        <v>46223</v>
      </c>
      <c r="K161" s="54">
        <f>H161/$O$5</f>
        <v>2</v>
      </c>
      <c r="L161" s="102" t="s">
        <v>22</v>
      </c>
    </row>
    <row r="162" spans="1:12">
      <c r="A162" s="51" t="s">
        <v>151</v>
      </c>
      <c r="B162" s="81" t="s">
        <v>84</v>
      </c>
      <c r="C162" s="77" t="s">
        <v>243</v>
      </c>
      <c r="D162" s="51" t="s">
        <v>55</v>
      </c>
      <c r="E162" s="51" t="s">
        <v>248</v>
      </c>
      <c r="F162" s="45" t="str" cm="1">
        <f t="array" ref="F162">_xlfn.IFS(H162="","", H162&lt;=2,"Low", H162&lt;=5,"Mid", H162&lt;=8,"High", TRUE,"Out of Range")</f>
        <v>Low</v>
      </c>
      <c r="G162" s="51" t="s">
        <v>57</v>
      </c>
      <c r="H162" s="52">
        <v>1</v>
      </c>
      <c r="I162" s="53">
        <v>46224</v>
      </c>
      <c r="J162" s="53">
        <v>46224</v>
      </c>
      <c r="K162" s="54">
        <f>H162/$O$5</f>
        <v>1</v>
      </c>
      <c r="L162" s="102" t="s">
        <v>22</v>
      </c>
    </row>
    <row r="163" spans="1:12">
      <c r="A163" s="51" t="s">
        <v>151</v>
      </c>
      <c r="B163" s="81" t="s">
        <v>84</v>
      </c>
      <c r="C163" s="77" t="s">
        <v>249</v>
      </c>
      <c r="D163" s="51" t="s">
        <v>46</v>
      </c>
      <c r="E163" s="51" t="s">
        <v>250</v>
      </c>
      <c r="F163" s="45" t="str" cm="1">
        <f t="array" ref="F163">_xlfn.IFS(H163="","", H163&lt;=2,"Low", H163&lt;=5,"Mid", H163&lt;=8,"High", TRUE,"Out of Range")</f>
        <v>Low</v>
      </c>
      <c r="G163" s="51" t="s">
        <v>57</v>
      </c>
      <c r="H163" s="52">
        <v>1</v>
      </c>
      <c r="I163" s="53">
        <v>46218</v>
      </c>
      <c r="J163" s="53">
        <v>46218</v>
      </c>
      <c r="K163" s="54">
        <f>H163/$O$7</f>
        <v>1</v>
      </c>
      <c r="L163" s="102" t="s">
        <v>22</v>
      </c>
    </row>
    <row r="164" spans="1:12">
      <c r="A164" s="51" t="s">
        <v>151</v>
      </c>
      <c r="B164" s="81" t="s">
        <v>84</v>
      </c>
      <c r="C164" s="77" t="s">
        <v>249</v>
      </c>
      <c r="D164" s="51" t="s">
        <v>46</v>
      </c>
      <c r="E164" s="51" t="s">
        <v>251</v>
      </c>
      <c r="F164" s="45" t="str" cm="1">
        <f t="array" ref="F164">_xlfn.IFS(H164="","", H164&lt;=2,"Low", H164&lt;=5,"Mid", H164&lt;=8,"High", TRUE,"Out of Range")</f>
        <v>Low</v>
      </c>
      <c r="G164" s="51" t="s">
        <v>57</v>
      </c>
      <c r="H164" s="52">
        <v>1</v>
      </c>
      <c r="I164" s="53">
        <v>46225</v>
      </c>
      <c r="J164" s="53">
        <v>46225</v>
      </c>
      <c r="K164" s="54">
        <f>H164/$O$7</f>
        <v>1</v>
      </c>
      <c r="L164" s="102" t="s">
        <v>22</v>
      </c>
    </row>
    <row r="165" spans="1:12">
      <c r="A165" s="51" t="s">
        <v>156</v>
      </c>
      <c r="B165" s="81" t="s">
        <v>84</v>
      </c>
      <c r="C165" s="77" t="s">
        <v>249</v>
      </c>
      <c r="D165" s="51" t="s">
        <v>50</v>
      </c>
      <c r="E165" s="51" t="s">
        <v>252</v>
      </c>
      <c r="F165" s="45" t="str" cm="1">
        <f t="array" ref="F165">_xlfn.IFS(H165="","", H165&lt;=2,"Low", H165&lt;=5,"Mid", H165&lt;=8,"High", TRUE,"Out of Range")</f>
        <v>Low</v>
      </c>
      <c r="G165" s="51" t="s">
        <v>62</v>
      </c>
      <c r="H165" s="52">
        <v>1</v>
      </c>
      <c r="I165" s="53">
        <v>46226</v>
      </c>
      <c r="J165" s="53">
        <v>46226</v>
      </c>
      <c r="K165" s="54">
        <f>H165/$O$8</f>
        <v>1</v>
      </c>
      <c r="L165" s="102" t="s">
        <v>22</v>
      </c>
    </row>
    <row r="166" spans="1:12">
      <c r="A166" s="51" t="s">
        <v>156</v>
      </c>
      <c r="B166" s="81" t="s">
        <v>84</v>
      </c>
      <c r="C166" s="77" t="s">
        <v>249</v>
      </c>
      <c r="D166" s="51" t="s">
        <v>50</v>
      </c>
      <c r="E166" s="51" t="s">
        <v>253</v>
      </c>
      <c r="F166" s="45" t="str" cm="1">
        <f t="array" ref="F166">_xlfn.IFS(H166="","", H166&lt;=2,"Low", H166&lt;=5,"Mid", H166&lt;=8,"High", TRUE,"Out of Range")</f>
        <v>Mid</v>
      </c>
      <c r="G166" s="51" t="s">
        <v>86</v>
      </c>
      <c r="H166" s="52">
        <v>4</v>
      </c>
      <c r="I166" s="53">
        <v>46226</v>
      </c>
      <c r="J166" s="53">
        <v>46231</v>
      </c>
      <c r="K166" s="54">
        <f>H166/$O$7</f>
        <v>4</v>
      </c>
      <c r="L166" s="102" t="s">
        <v>22</v>
      </c>
    </row>
    <row r="167" spans="1:12">
      <c r="A167" s="51" t="s">
        <v>156</v>
      </c>
      <c r="B167" s="81" t="s">
        <v>84</v>
      </c>
      <c r="C167" s="77" t="s">
        <v>249</v>
      </c>
      <c r="D167" s="51" t="s">
        <v>55</v>
      </c>
      <c r="E167" s="51" t="s">
        <v>254</v>
      </c>
      <c r="F167" s="45" t="str" cm="1">
        <f t="array" ref="F167">_xlfn.IFS(H167="","", H167&lt;=2,"Low", H167&lt;=5,"Mid", H167&lt;=8,"High", TRUE,"Out of Range")</f>
        <v>Low</v>
      </c>
      <c r="G167" s="51" t="s">
        <v>57</v>
      </c>
      <c r="H167" s="52">
        <v>1</v>
      </c>
      <c r="I167" s="53">
        <v>46232</v>
      </c>
      <c r="J167" s="53">
        <v>46232</v>
      </c>
      <c r="K167" s="54">
        <f>H167/$O$5</f>
        <v>1</v>
      </c>
      <c r="L167" s="102" t="s">
        <v>22</v>
      </c>
    </row>
    <row r="168" spans="1:12">
      <c r="A168" s="51" t="s">
        <v>159</v>
      </c>
      <c r="B168" s="81" t="s">
        <v>84</v>
      </c>
      <c r="C168" s="77" t="s">
        <v>255</v>
      </c>
      <c r="D168" s="51" t="s">
        <v>46</v>
      </c>
      <c r="E168" s="77" t="s">
        <v>256</v>
      </c>
      <c r="F168" s="45" t="str" cm="1">
        <f t="array" ref="F168">_xlfn.IFS(H168="","", H168&lt;=2,"Low", H168&lt;=5,"Mid", H168&lt;=8,"High", TRUE,"Out of Range")</f>
        <v>Low</v>
      </c>
      <c r="G168" s="51" t="s">
        <v>57</v>
      </c>
      <c r="H168" s="52">
        <v>1</v>
      </c>
      <c r="I168" s="53">
        <v>46226</v>
      </c>
      <c r="J168" s="53">
        <v>46226</v>
      </c>
      <c r="K168" s="54">
        <f>H168/$O$7</f>
        <v>1</v>
      </c>
      <c r="L168" s="102" t="s">
        <v>22</v>
      </c>
    </row>
    <row r="169" spans="1:12">
      <c r="A169" s="51" t="s">
        <v>159</v>
      </c>
      <c r="B169" s="81" t="s">
        <v>84</v>
      </c>
      <c r="C169" s="77" t="s">
        <v>255</v>
      </c>
      <c r="D169" s="51" t="s">
        <v>46</v>
      </c>
      <c r="E169" s="77" t="s">
        <v>257</v>
      </c>
      <c r="F169" s="45" t="str" cm="1">
        <f t="array" ref="F169">_xlfn.IFS(H169="","", H169&lt;=2,"Low", H169&lt;=5,"Mid", H169&lt;=8,"High", TRUE,"Out of Range")</f>
        <v>Low</v>
      </c>
      <c r="G169" s="51" t="s">
        <v>57</v>
      </c>
      <c r="H169" s="52">
        <v>1</v>
      </c>
      <c r="I169" s="53">
        <v>46227</v>
      </c>
      <c r="J169" s="53">
        <v>46227</v>
      </c>
      <c r="K169" s="54">
        <f>H169/$O$7</f>
        <v>1</v>
      </c>
      <c r="L169" s="102" t="s">
        <v>22</v>
      </c>
    </row>
    <row r="170" spans="1:12">
      <c r="A170" s="51" t="s">
        <v>159</v>
      </c>
      <c r="B170" s="81" t="s">
        <v>84</v>
      </c>
      <c r="C170" s="77" t="s">
        <v>255</v>
      </c>
      <c r="D170" s="51" t="s">
        <v>50</v>
      </c>
      <c r="E170" s="77" t="s">
        <v>258</v>
      </c>
      <c r="F170" s="45" t="str" cm="1">
        <f t="array" ref="F170">_xlfn.IFS(H170="","", H170&lt;=2,"Low", H170&lt;=5,"Mid", H170&lt;=8,"High", TRUE,"Out of Range")</f>
        <v>Mid</v>
      </c>
      <c r="G170" s="51" t="s">
        <v>18</v>
      </c>
      <c r="H170" s="52">
        <v>3</v>
      </c>
      <c r="I170" s="53">
        <v>46230</v>
      </c>
      <c r="J170" s="53">
        <v>46232</v>
      </c>
      <c r="K170" s="54">
        <f t="shared" ref="K170:K177" si="1">H170/$O$5</f>
        <v>3</v>
      </c>
      <c r="L170" s="102" t="s">
        <v>22</v>
      </c>
    </row>
    <row r="171" spans="1:12">
      <c r="A171" s="51" t="s">
        <v>159</v>
      </c>
      <c r="B171" s="81" t="s">
        <v>84</v>
      </c>
      <c r="C171" s="77" t="s">
        <v>255</v>
      </c>
      <c r="D171" s="51" t="s">
        <v>55</v>
      </c>
      <c r="E171" s="77" t="s">
        <v>259</v>
      </c>
      <c r="F171" s="45" t="str" cm="1">
        <f t="array" ref="F171">_xlfn.IFS(H171="","", H171&lt;=2,"Low", H171&lt;=5,"Mid", H171&lt;=8,"High", TRUE,"Out of Range")</f>
        <v>Low</v>
      </c>
      <c r="G171" s="51" t="s">
        <v>57</v>
      </c>
      <c r="H171" s="52">
        <v>1</v>
      </c>
      <c r="I171" s="53">
        <v>46233</v>
      </c>
      <c r="J171" s="53">
        <v>46233</v>
      </c>
      <c r="K171" s="54">
        <f t="shared" si="1"/>
        <v>1</v>
      </c>
      <c r="L171" s="102" t="s">
        <v>22</v>
      </c>
    </row>
    <row r="172" spans="1:12">
      <c r="A172" s="51" t="s">
        <v>215</v>
      </c>
      <c r="B172" s="81" t="s">
        <v>84</v>
      </c>
      <c r="C172" s="77" t="s">
        <v>260</v>
      </c>
      <c r="D172" s="51" t="s">
        <v>46</v>
      </c>
      <c r="E172" s="77" t="s">
        <v>261</v>
      </c>
      <c r="F172" s="45" t="str" cm="1">
        <f t="array" ref="F172">_xlfn.IFS(H172="","", H172&lt;=2,"Low", H172&lt;=5,"Mid", H172&lt;=8,"High", TRUE,"Out of Range")</f>
        <v>Low</v>
      </c>
      <c r="G172" s="51" t="s">
        <v>57</v>
      </c>
      <c r="H172" s="52">
        <v>1</v>
      </c>
      <c r="I172" s="53">
        <v>46234</v>
      </c>
      <c r="J172" s="53">
        <v>46234</v>
      </c>
      <c r="K172" s="54">
        <f t="shared" si="1"/>
        <v>1</v>
      </c>
      <c r="L172" s="102" t="s">
        <v>22</v>
      </c>
    </row>
    <row r="173" spans="1:12">
      <c r="A173" s="51" t="s">
        <v>262</v>
      </c>
      <c r="B173" s="81" t="s">
        <v>84</v>
      </c>
      <c r="C173" s="77" t="s">
        <v>260</v>
      </c>
      <c r="D173" s="51" t="s">
        <v>46</v>
      </c>
      <c r="E173" s="77" t="s">
        <v>263</v>
      </c>
      <c r="F173" s="45" t="str" cm="1">
        <f t="array" ref="F173">_xlfn.IFS(H173="","", H173&lt;=2,"Low", H173&lt;=5,"Mid", H173&lt;=8,"High", TRUE,"Out of Range")</f>
        <v>Low</v>
      </c>
      <c r="G173" s="51" t="s">
        <v>57</v>
      </c>
      <c r="H173" s="52">
        <v>1</v>
      </c>
      <c r="I173" s="53">
        <v>46237</v>
      </c>
      <c r="J173" s="53">
        <v>46237</v>
      </c>
      <c r="K173" s="54">
        <f t="shared" si="1"/>
        <v>1</v>
      </c>
      <c r="L173" s="102" t="s">
        <v>22</v>
      </c>
    </row>
    <row r="174" spans="1:12">
      <c r="A174" s="51" t="s">
        <v>262</v>
      </c>
      <c r="B174" s="81" t="s">
        <v>84</v>
      </c>
      <c r="C174" s="77" t="s">
        <v>260</v>
      </c>
      <c r="D174" s="51" t="s">
        <v>50</v>
      </c>
      <c r="E174" s="77" t="s">
        <v>264</v>
      </c>
      <c r="F174" s="45" t="str" cm="1">
        <f t="array" ref="F174">_xlfn.IFS(H174="","", H174&lt;=2,"Low", H174&lt;=5,"Mid", H174&lt;=8,"High", TRUE,"Out of Range")</f>
        <v>Mid</v>
      </c>
      <c r="G174" s="51" t="s">
        <v>18</v>
      </c>
      <c r="H174" s="52">
        <v>3</v>
      </c>
      <c r="I174" s="53">
        <v>46238</v>
      </c>
      <c r="J174" s="53">
        <v>46240</v>
      </c>
      <c r="K174" s="54">
        <f t="shared" si="1"/>
        <v>3</v>
      </c>
      <c r="L174" s="102" t="s">
        <v>22</v>
      </c>
    </row>
    <row r="175" spans="1:12">
      <c r="A175" s="51" t="s">
        <v>262</v>
      </c>
      <c r="B175" s="81" t="s">
        <v>84</v>
      </c>
      <c r="C175" s="77" t="s">
        <v>260</v>
      </c>
      <c r="D175" s="51" t="s">
        <v>55</v>
      </c>
      <c r="E175" s="77" t="s">
        <v>265</v>
      </c>
      <c r="F175" s="45" t="str" cm="1">
        <f t="array" ref="F175">_xlfn.IFS(H175="","", H175&lt;=2,"Low", H175&lt;=5,"Mid", H175&lt;=8,"High", TRUE,"Out of Range")</f>
        <v>Low</v>
      </c>
      <c r="G175" s="51" t="s">
        <v>57</v>
      </c>
      <c r="H175" s="52">
        <v>1</v>
      </c>
      <c r="I175" s="53">
        <v>46241</v>
      </c>
      <c r="J175" s="53">
        <v>46241</v>
      </c>
      <c r="K175" s="54">
        <f t="shared" si="1"/>
        <v>1</v>
      </c>
      <c r="L175" s="102" t="s">
        <v>22</v>
      </c>
    </row>
    <row r="176" spans="1:12">
      <c r="A176" s="51" t="s">
        <v>262</v>
      </c>
      <c r="B176" s="81" t="s">
        <v>84</v>
      </c>
      <c r="C176" s="77" t="s">
        <v>266</v>
      </c>
      <c r="D176" s="51" t="s">
        <v>46</v>
      </c>
      <c r="E176" s="77" t="s">
        <v>267</v>
      </c>
      <c r="F176" s="45" t="str" cm="1">
        <f t="array" ref="F176">_xlfn.IFS(H176="","", H176&lt;=2,"Low", H176&lt;=5,"Mid", H176&lt;=8,"High", TRUE,"Out of Range")</f>
        <v>Low</v>
      </c>
      <c r="G176" s="51" t="s">
        <v>57</v>
      </c>
      <c r="H176" s="52">
        <v>1</v>
      </c>
      <c r="I176" s="53">
        <v>46244</v>
      </c>
      <c r="J176" s="53">
        <v>46244</v>
      </c>
      <c r="K176" s="54">
        <f t="shared" si="1"/>
        <v>1</v>
      </c>
      <c r="L176" s="102" t="s">
        <v>22</v>
      </c>
    </row>
    <row r="177" spans="1:12">
      <c r="A177" s="51" t="s">
        <v>268</v>
      </c>
      <c r="B177" s="81" t="s">
        <v>84</v>
      </c>
      <c r="C177" s="77" t="s">
        <v>266</v>
      </c>
      <c r="D177" s="51" t="s">
        <v>46</v>
      </c>
      <c r="E177" s="77" t="s">
        <v>269</v>
      </c>
      <c r="F177" s="45" t="str" cm="1">
        <f t="array" ref="F177">_xlfn.IFS(H177="","", H177&lt;=2,"Low", H177&lt;=5,"Mid", H177&lt;=8,"High", TRUE,"Out of Range")</f>
        <v>Low</v>
      </c>
      <c r="G177" s="51" t="s">
        <v>57</v>
      </c>
      <c r="H177" s="52">
        <v>1</v>
      </c>
      <c r="I177" s="53">
        <v>46245</v>
      </c>
      <c r="J177" s="53">
        <v>46245</v>
      </c>
      <c r="K177" s="54">
        <f t="shared" si="1"/>
        <v>1</v>
      </c>
      <c r="L177" s="102" t="s">
        <v>22</v>
      </c>
    </row>
    <row r="178" spans="1:12">
      <c r="A178" s="51" t="s">
        <v>268</v>
      </c>
      <c r="B178" s="81" t="s">
        <v>84</v>
      </c>
      <c r="C178" s="77" t="s">
        <v>266</v>
      </c>
      <c r="D178" s="51" t="s">
        <v>50</v>
      </c>
      <c r="E178" s="77" t="s">
        <v>270</v>
      </c>
      <c r="F178" s="45" t="str" cm="1">
        <f t="array" ref="F178">_xlfn.IFS(H178="","", H178&lt;=2,"Low", H178&lt;=5,"Mid", H178&lt;=8,"High", TRUE,"Out of Range")</f>
        <v>Mid</v>
      </c>
      <c r="G178" s="51" t="s">
        <v>86</v>
      </c>
      <c r="H178" s="52">
        <v>3</v>
      </c>
      <c r="I178" s="53">
        <v>46246</v>
      </c>
      <c r="J178" s="53">
        <v>46248</v>
      </c>
      <c r="K178" s="54">
        <f>H178/$O$7</f>
        <v>3</v>
      </c>
      <c r="L178" s="102" t="s">
        <v>22</v>
      </c>
    </row>
    <row r="179" spans="1:12">
      <c r="A179" s="82" t="s">
        <v>268</v>
      </c>
      <c r="B179" s="83" t="s">
        <v>84</v>
      </c>
      <c r="C179" s="88" t="s">
        <v>266</v>
      </c>
      <c r="D179" s="51" t="s">
        <v>55</v>
      </c>
      <c r="E179" s="88" t="s">
        <v>271</v>
      </c>
      <c r="F179" s="45" t="str" cm="1">
        <f t="array" ref="F179">_xlfn.IFS(H179="","", H179&lt;=2,"Low", H179&lt;=5,"Mid", H179&lt;=8,"High", TRUE,"Out of Range")</f>
        <v>Low</v>
      </c>
      <c r="G179" s="51" t="s">
        <v>57</v>
      </c>
      <c r="H179" s="84">
        <v>1</v>
      </c>
      <c r="I179" s="85">
        <v>46251</v>
      </c>
      <c r="J179" s="85">
        <v>46251</v>
      </c>
      <c r="K179" s="54">
        <f>H179/$O$5</f>
        <v>1</v>
      </c>
      <c r="L179" s="87" t="s">
        <v>22</v>
      </c>
    </row>
  </sheetData>
  <autoFilter ref="A10:O179" xr:uid="{34BB96A7-53BD-4507-B62C-6AD24A499E83}"/>
  <mergeCells count="4">
    <mergeCell ref="C1:L1"/>
    <mergeCell ref="J3:J4"/>
    <mergeCell ref="J5:J6"/>
    <mergeCell ref="D7:G7"/>
  </mergeCells>
  <phoneticPr fontId="1" type="noConversion"/>
  <dataValidations disablePrompts="1" count="1">
    <dataValidation type="list" allowBlank="1" showInputMessage="1" showErrorMessage="1" sqref="L11:L179" xr:uid="{6609C4A7-F8D2-4F64-A3BC-C37ED57FA423}">
      <formula1>"Not Started,In progress,Completed"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E5CE-72C1-41E2-8192-AC32F3AAB56B}">
  <sheetPr>
    <tabColor theme="8"/>
  </sheetPr>
  <dimension ref="A1:P217"/>
  <sheetViews>
    <sheetView zoomScaleNormal="100" workbookViewId="0">
      <pane ySplit="11" topLeftCell="M12" activePane="bottomLeft" state="frozen"/>
      <selection pane="bottomLeft" activeCell="M6" sqref="M6"/>
    </sheetView>
  </sheetViews>
  <sheetFormatPr defaultColWidth="8.7109375" defaultRowHeight="12.75"/>
  <cols>
    <col min="1" max="1" width="9.42578125" style="49" customWidth="1"/>
    <col min="2" max="2" width="11.140625" style="49" customWidth="1"/>
    <col min="3" max="3" width="85.140625" style="49" customWidth="1"/>
    <col min="4" max="4" width="15.28515625" style="49" customWidth="1"/>
    <col min="5" max="5" width="78.7109375" style="49" hidden="1" customWidth="1"/>
    <col min="6" max="6" width="13.42578125" style="49" customWidth="1"/>
    <col min="7" max="7" width="12.85546875" style="49" customWidth="1"/>
    <col min="8" max="8" width="12" style="49" customWidth="1"/>
    <col min="9" max="9" width="13.42578125" style="49" customWidth="1"/>
    <col min="10" max="10" width="9.28515625" style="49" bestFit="1" customWidth="1"/>
    <col min="11" max="11" width="10.42578125" style="49" bestFit="1" customWidth="1"/>
    <col min="12" max="12" width="9.140625" style="49"/>
    <col min="13" max="13" width="16.28515625" style="49" customWidth="1"/>
    <col min="14" max="14" width="11.28515625" style="49" customWidth="1"/>
    <col min="15" max="15" width="15.28515625" style="49" bestFit="1" customWidth="1"/>
    <col min="16" max="16" width="14.140625" style="49" bestFit="1" customWidth="1"/>
    <col min="17" max="16384" width="8.7109375" style="49"/>
  </cols>
  <sheetData>
    <row r="1" spans="1:16" s="46" customFormat="1" ht="24" customHeight="1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6" s="46" customFormat="1" ht="5.2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6" s="46" customFormat="1" ht="15" customHeight="1">
      <c r="B3" s="67" t="s">
        <v>6</v>
      </c>
      <c r="C3" s="68">
        <f>COUNTA(E18:E1048576)</f>
        <v>199</v>
      </c>
      <c r="D3" s="68"/>
      <c r="E3" s="45"/>
      <c r="F3" s="69" t="s">
        <v>7</v>
      </c>
      <c r="G3" s="70">
        <f ca="1">G5-G4+1</f>
        <v>762</v>
      </c>
      <c r="H3" s="45"/>
      <c r="I3" s="125" t="s">
        <v>8</v>
      </c>
      <c r="J3" s="45"/>
      <c r="M3" s="60" t="s">
        <v>11</v>
      </c>
      <c r="N3" s="50" t="s">
        <v>12</v>
      </c>
      <c r="O3" s="46" t="s">
        <v>13</v>
      </c>
      <c r="P3" s="46" t="s">
        <v>19</v>
      </c>
    </row>
    <row r="4" spans="1:16" s="46" customFormat="1" ht="15">
      <c r="B4" s="71" t="s">
        <v>9</v>
      </c>
      <c r="C4" s="72">
        <f>COUNTIF(K18:K1048576,B4)</f>
        <v>2</v>
      </c>
      <c r="D4" s="72"/>
      <c r="E4" s="45"/>
      <c r="F4" s="73" t="s">
        <v>10</v>
      </c>
      <c r="G4" s="74">
        <f ca="1">MIN(H12:H1048576)</f>
        <v>45717</v>
      </c>
      <c r="H4" s="45"/>
      <c r="I4" s="120"/>
      <c r="J4" s="45"/>
      <c r="K4" s="89">
        <f>SUM(G12:G17)</f>
        <v>24</v>
      </c>
      <c r="M4" s="56" t="s">
        <v>18</v>
      </c>
      <c r="N4" s="57">
        <v>1</v>
      </c>
    </row>
    <row r="5" spans="1:16" s="46" customFormat="1" ht="15" customHeight="1">
      <c r="B5" s="71" t="s">
        <v>16</v>
      </c>
      <c r="C5" s="72">
        <f>COUNTIF(K18:K1048576,B5)</f>
        <v>7</v>
      </c>
      <c r="D5" s="72"/>
      <c r="E5" s="45"/>
      <c r="F5" s="73" t="s">
        <v>17</v>
      </c>
      <c r="G5" s="74">
        <f ca="1">MAX(I12:I1048576)</f>
        <v>46478</v>
      </c>
      <c r="H5" s="45"/>
      <c r="I5" s="122"/>
      <c r="J5" s="45"/>
      <c r="K5" s="89">
        <f>SUM(G12:G216)</f>
        <v>419</v>
      </c>
      <c r="M5" s="96" t="s">
        <v>28</v>
      </c>
      <c r="N5" s="57">
        <v>1</v>
      </c>
    </row>
    <row r="6" spans="1:16" s="46" customFormat="1" ht="15" customHeight="1">
      <c r="B6" s="71" t="s">
        <v>22</v>
      </c>
      <c r="C6" s="72">
        <f>COUNTIF(K18:K1048576,B6)</f>
        <v>191</v>
      </c>
      <c r="D6" s="72"/>
      <c r="E6" s="45"/>
      <c r="F6" s="73"/>
      <c r="G6" s="75"/>
      <c r="H6" s="45"/>
      <c r="I6" s="122"/>
      <c r="J6" s="45"/>
      <c r="M6" s="94" t="s">
        <v>32</v>
      </c>
      <c r="N6" s="57">
        <v>1</v>
      </c>
      <c r="O6" s="99">
        <f>145000*1.05</f>
        <v>152250</v>
      </c>
      <c r="P6" s="99">
        <f>O6*12</f>
        <v>1827000</v>
      </c>
    </row>
    <row r="7" spans="1:16" s="46" customFormat="1" ht="1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90">
        <f>K4/K5</f>
        <v>5.7279236276849645E-2</v>
      </c>
      <c r="M7" s="56" t="s">
        <v>33</v>
      </c>
      <c r="N7" s="57">
        <v>0.5</v>
      </c>
    </row>
    <row r="8" spans="1:16" s="46" customFormat="1" ht="15">
      <c r="B8" s="44"/>
      <c r="C8" s="44"/>
      <c r="D8" s="44"/>
      <c r="E8" s="45"/>
      <c r="F8" s="45"/>
      <c r="G8" s="45"/>
      <c r="H8" s="45"/>
      <c r="I8" s="76"/>
      <c r="J8" s="45"/>
      <c r="K8" s="90"/>
    </row>
    <row r="9" spans="1:16" s="46" customFormat="1" ht="15">
      <c r="B9" s="44"/>
      <c r="C9" s="44"/>
      <c r="D9" s="44"/>
      <c r="E9" s="45"/>
      <c r="F9" s="45"/>
      <c r="G9" s="45"/>
      <c r="H9" s="45"/>
      <c r="I9" s="76"/>
      <c r="J9" s="45"/>
      <c r="K9" s="90"/>
    </row>
    <row r="10" spans="1:16" s="46" customFormat="1" ht="15">
      <c r="B10" s="44"/>
      <c r="C10" s="44"/>
      <c r="D10" s="44"/>
      <c r="E10" s="45"/>
      <c r="F10" s="45"/>
      <c r="G10" s="45"/>
      <c r="H10" s="45"/>
      <c r="I10" s="76"/>
      <c r="J10" s="45"/>
      <c r="K10" s="90"/>
    </row>
    <row r="11" spans="1:16" ht="25.5">
      <c r="A11" s="47" t="s">
        <v>272</v>
      </c>
      <c r="B11" s="47" t="s">
        <v>35</v>
      </c>
      <c r="C11" s="47" t="s">
        <v>36</v>
      </c>
      <c r="D11" s="47" t="s">
        <v>37</v>
      </c>
      <c r="E11" s="47" t="s">
        <v>38</v>
      </c>
      <c r="F11" s="47" t="s">
        <v>40</v>
      </c>
      <c r="G11" s="59" t="s">
        <v>41</v>
      </c>
      <c r="H11" s="48" t="s">
        <v>10</v>
      </c>
      <c r="I11" s="48" t="s">
        <v>17</v>
      </c>
      <c r="J11" s="48" t="s">
        <v>7</v>
      </c>
      <c r="K11" s="48" t="s">
        <v>42</v>
      </c>
    </row>
    <row r="12" spans="1:16">
      <c r="A12" s="51" t="s">
        <v>273</v>
      </c>
      <c r="B12" s="49" t="s">
        <v>274</v>
      </c>
      <c r="C12" s="51" t="s">
        <v>275</v>
      </c>
      <c r="D12" s="51" t="s">
        <v>46</v>
      </c>
      <c r="E12" s="51" t="s">
        <v>83</v>
      </c>
      <c r="F12" s="51" t="s">
        <v>276</v>
      </c>
      <c r="G12" s="52">
        <v>3</v>
      </c>
      <c r="H12" s="53">
        <v>45915</v>
      </c>
      <c r="I12" s="53">
        <f t="shared" ref="I12:I33" si="0">WORKDAY(H12,J12)</f>
        <v>45918</v>
      </c>
      <c r="J12" s="54">
        <f t="shared" ref="J12:J17" si="1">G12/$N$4</f>
        <v>3</v>
      </c>
      <c r="K12" s="102" t="s">
        <v>9</v>
      </c>
    </row>
    <row r="13" spans="1:16">
      <c r="A13" s="51" t="s">
        <v>273</v>
      </c>
      <c r="B13" s="49" t="s">
        <v>274</v>
      </c>
      <c r="C13" s="51" t="s">
        <v>45</v>
      </c>
      <c r="D13" s="51" t="s">
        <v>46</v>
      </c>
      <c r="E13" s="51" t="s">
        <v>277</v>
      </c>
      <c r="F13" s="51" t="s">
        <v>276</v>
      </c>
      <c r="G13" s="52">
        <v>3</v>
      </c>
      <c r="H13" s="53">
        <f>WORKDAY(I12,1)</f>
        <v>45919</v>
      </c>
      <c r="I13" s="53">
        <f t="shared" si="0"/>
        <v>45924</v>
      </c>
      <c r="J13" s="54">
        <f t="shared" si="1"/>
        <v>3</v>
      </c>
      <c r="K13" s="102" t="s">
        <v>9</v>
      </c>
    </row>
    <row r="14" spans="1:16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51</v>
      </c>
      <c r="F14" s="51" t="s">
        <v>18</v>
      </c>
      <c r="G14" s="52">
        <v>5</v>
      </c>
      <c r="H14" s="53">
        <f>WORKDAY(I13,1)</f>
        <v>45925</v>
      </c>
      <c r="I14" s="53">
        <f t="shared" si="0"/>
        <v>45932</v>
      </c>
      <c r="J14" s="54">
        <f t="shared" si="1"/>
        <v>5</v>
      </c>
      <c r="K14" s="102" t="s">
        <v>9</v>
      </c>
    </row>
    <row r="15" spans="1:16">
      <c r="A15" s="51" t="s">
        <v>273</v>
      </c>
      <c r="B15" s="49" t="s">
        <v>274</v>
      </c>
      <c r="C15" s="51" t="s">
        <v>45</v>
      </c>
      <c r="D15" s="51" t="s">
        <v>50</v>
      </c>
      <c r="E15" s="51" t="s">
        <v>52</v>
      </c>
      <c r="F15" s="51" t="s">
        <v>18</v>
      </c>
      <c r="G15" s="52">
        <v>5</v>
      </c>
      <c r="H15" s="53">
        <f>WORKDAY(I14,1)</f>
        <v>45933</v>
      </c>
      <c r="I15" s="53">
        <f t="shared" si="0"/>
        <v>45940</v>
      </c>
      <c r="J15" s="54">
        <f t="shared" si="1"/>
        <v>5</v>
      </c>
      <c r="K15" s="102" t="s">
        <v>9</v>
      </c>
    </row>
    <row r="16" spans="1:16">
      <c r="A16" s="51" t="s">
        <v>273</v>
      </c>
      <c r="B16" s="49" t="s">
        <v>274</v>
      </c>
      <c r="C16" s="51" t="s">
        <v>45</v>
      </c>
      <c r="D16" s="51" t="s">
        <v>50</v>
      </c>
      <c r="E16" s="51" t="s">
        <v>54</v>
      </c>
      <c r="F16" s="51" t="s">
        <v>18</v>
      </c>
      <c r="G16" s="52">
        <v>5</v>
      </c>
      <c r="H16" s="53">
        <f>WORKDAY(I15,1)</f>
        <v>45943</v>
      </c>
      <c r="I16" s="53">
        <f t="shared" si="0"/>
        <v>45950</v>
      </c>
      <c r="J16" s="54">
        <f t="shared" si="1"/>
        <v>5</v>
      </c>
      <c r="K16" s="102" t="s">
        <v>9</v>
      </c>
    </row>
    <row r="17" spans="1:11">
      <c r="A17" s="51" t="s">
        <v>273</v>
      </c>
      <c r="B17" s="49" t="s">
        <v>274</v>
      </c>
      <c r="C17" s="51" t="s">
        <v>45</v>
      </c>
      <c r="D17" s="51" t="s">
        <v>278</v>
      </c>
      <c r="E17" s="51" t="s">
        <v>56</v>
      </c>
      <c r="F17" s="51" t="s">
        <v>279</v>
      </c>
      <c r="G17" s="52">
        <v>3</v>
      </c>
      <c r="H17" s="53">
        <f>WORKDAY(I16,1)</f>
        <v>45951</v>
      </c>
      <c r="I17" s="53">
        <f t="shared" si="0"/>
        <v>45954</v>
      </c>
      <c r="J17" s="54">
        <f t="shared" si="1"/>
        <v>3</v>
      </c>
      <c r="K17" s="102" t="s">
        <v>9</v>
      </c>
    </row>
    <row r="18" spans="1:11">
      <c r="A18" s="51" t="s">
        <v>43</v>
      </c>
      <c r="B18" s="81" t="s">
        <v>44</v>
      </c>
      <c r="C18" s="51" t="s">
        <v>45</v>
      </c>
      <c r="D18" s="51" t="s">
        <v>46</v>
      </c>
      <c r="E18" s="51" t="s">
        <v>47</v>
      </c>
      <c r="F18" s="51" t="s">
        <v>280</v>
      </c>
      <c r="G18" s="52">
        <v>3</v>
      </c>
      <c r="H18" s="53">
        <v>45985</v>
      </c>
      <c r="I18" s="53">
        <f t="shared" si="0"/>
        <v>45993</v>
      </c>
      <c r="J18" s="54">
        <f>G18/$N$7</f>
        <v>6</v>
      </c>
      <c r="K18" s="55" t="s">
        <v>9</v>
      </c>
    </row>
    <row r="19" spans="1:11">
      <c r="A19" s="51" t="s">
        <v>43</v>
      </c>
      <c r="B19" s="81" t="s">
        <v>44</v>
      </c>
      <c r="C19" s="51" t="s">
        <v>45</v>
      </c>
      <c r="D19" s="51" t="s">
        <v>46</v>
      </c>
      <c r="E19" s="51" t="s">
        <v>49</v>
      </c>
      <c r="F19" s="51" t="s">
        <v>280</v>
      </c>
      <c r="G19" s="52">
        <v>3</v>
      </c>
      <c r="H19" s="53">
        <f>WORKDAY(I18,1)</f>
        <v>45994</v>
      </c>
      <c r="I19" s="53">
        <f t="shared" si="0"/>
        <v>46002</v>
      </c>
      <c r="J19" s="54">
        <f>G19/$N$7</f>
        <v>6</v>
      </c>
      <c r="K19" s="55" t="s">
        <v>9</v>
      </c>
    </row>
    <row r="20" spans="1:11">
      <c r="A20" s="51" t="s">
        <v>43</v>
      </c>
      <c r="B20" s="81" t="s">
        <v>44</v>
      </c>
      <c r="C20" s="51" t="s">
        <v>45</v>
      </c>
      <c r="D20" s="51" t="s">
        <v>50</v>
      </c>
      <c r="E20" s="51" t="s">
        <v>51</v>
      </c>
      <c r="F20" s="51" t="s">
        <v>18</v>
      </c>
      <c r="G20" s="52">
        <v>3</v>
      </c>
      <c r="H20" s="53">
        <f>WORKDAY(I19,1)</f>
        <v>46003</v>
      </c>
      <c r="I20" s="53">
        <f t="shared" si="0"/>
        <v>46008</v>
      </c>
      <c r="J20" s="54">
        <f>G20/$N$4</f>
        <v>3</v>
      </c>
      <c r="K20" s="55" t="s">
        <v>16</v>
      </c>
    </row>
    <row r="21" spans="1:11">
      <c r="A21" s="51" t="s">
        <v>43</v>
      </c>
      <c r="B21" s="81" t="s">
        <v>44</v>
      </c>
      <c r="C21" s="51" t="s">
        <v>45</v>
      </c>
      <c r="D21" s="51" t="s">
        <v>50</v>
      </c>
      <c r="E21" s="51" t="s">
        <v>52</v>
      </c>
      <c r="F21" s="51" t="s">
        <v>18</v>
      </c>
      <c r="G21" s="52">
        <v>5</v>
      </c>
      <c r="H21" s="53">
        <f>WORKDAY(I20,1)</f>
        <v>46009</v>
      </c>
      <c r="I21" s="53">
        <f t="shared" si="0"/>
        <v>46016</v>
      </c>
      <c r="J21" s="54">
        <f>G21/$N$4</f>
        <v>5</v>
      </c>
      <c r="K21" s="55" t="s">
        <v>22</v>
      </c>
    </row>
    <row r="22" spans="1:11">
      <c r="A22" s="51" t="s">
        <v>53</v>
      </c>
      <c r="B22" s="81" t="s">
        <v>44</v>
      </c>
      <c r="C22" s="51" t="s">
        <v>45</v>
      </c>
      <c r="D22" s="51" t="s">
        <v>50</v>
      </c>
      <c r="E22" s="51" t="s">
        <v>54</v>
      </c>
      <c r="F22" s="51" t="s">
        <v>18</v>
      </c>
      <c r="G22" s="52">
        <v>2</v>
      </c>
      <c r="H22" s="53">
        <f>WORKDAY(I21,1)</f>
        <v>46017</v>
      </c>
      <c r="I22" s="53">
        <f t="shared" si="0"/>
        <v>46021</v>
      </c>
      <c r="J22" s="54">
        <f>G22/$N$4</f>
        <v>2</v>
      </c>
      <c r="K22" s="55" t="s">
        <v>22</v>
      </c>
    </row>
    <row r="23" spans="1:11">
      <c r="A23" s="51" t="s">
        <v>53</v>
      </c>
      <c r="B23" s="81" t="s">
        <v>44</v>
      </c>
      <c r="C23" s="51" t="s">
        <v>45</v>
      </c>
      <c r="D23" s="51" t="s">
        <v>278</v>
      </c>
      <c r="E23" s="51" t="s">
        <v>56</v>
      </c>
      <c r="F23" s="51" t="s">
        <v>18</v>
      </c>
      <c r="G23" s="52">
        <v>3</v>
      </c>
      <c r="H23" s="53">
        <f>WORKDAY(I22,1)</f>
        <v>46022</v>
      </c>
      <c r="I23" s="53">
        <f t="shared" si="0"/>
        <v>46027</v>
      </c>
      <c r="J23" s="54">
        <f>G23/$N$4</f>
        <v>3</v>
      </c>
      <c r="K23" s="55" t="s">
        <v>22</v>
      </c>
    </row>
    <row r="24" spans="1:11">
      <c r="A24" s="51" t="s">
        <v>53</v>
      </c>
      <c r="B24" s="81" t="s">
        <v>44</v>
      </c>
      <c r="C24" s="51" t="s">
        <v>58</v>
      </c>
      <c r="D24" s="51" t="s">
        <v>46</v>
      </c>
      <c r="E24" s="51" t="s">
        <v>59</v>
      </c>
      <c r="F24" s="51" t="s">
        <v>280</v>
      </c>
      <c r="G24" s="52">
        <v>1.5</v>
      </c>
      <c r="H24" s="53">
        <f>WORKDAY(I19,1)</f>
        <v>46003</v>
      </c>
      <c r="I24" s="53">
        <f t="shared" si="0"/>
        <v>46008</v>
      </c>
      <c r="J24" s="54">
        <f>G24/$N$7</f>
        <v>3</v>
      </c>
      <c r="K24" s="55" t="s">
        <v>16</v>
      </c>
    </row>
    <row r="25" spans="1:11">
      <c r="A25" s="51" t="s">
        <v>53</v>
      </c>
      <c r="B25" s="81" t="s">
        <v>44</v>
      </c>
      <c r="C25" s="51" t="s">
        <v>58</v>
      </c>
      <c r="D25" s="51" t="s">
        <v>46</v>
      </c>
      <c r="E25" s="51" t="s">
        <v>60</v>
      </c>
      <c r="F25" s="51" t="s">
        <v>280</v>
      </c>
      <c r="G25" s="52">
        <v>1.5</v>
      </c>
      <c r="H25" s="53">
        <f>WORKDAY(I24,1)</f>
        <v>46009</v>
      </c>
      <c r="I25" s="53">
        <f t="shared" si="0"/>
        <v>46014</v>
      </c>
      <c r="J25" s="54">
        <f>G25/$N$7</f>
        <v>3</v>
      </c>
      <c r="K25" s="55" t="s">
        <v>16</v>
      </c>
    </row>
    <row r="26" spans="1:11">
      <c r="A26" s="51" t="s">
        <v>53</v>
      </c>
      <c r="B26" s="81" t="s">
        <v>44</v>
      </c>
      <c r="C26" s="51" t="s">
        <v>58</v>
      </c>
      <c r="D26" s="51" t="s">
        <v>50</v>
      </c>
      <c r="E26" s="51" t="s">
        <v>61</v>
      </c>
      <c r="F26" s="51" t="s">
        <v>281</v>
      </c>
      <c r="G26" s="52">
        <v>1</v>
      </c>
      <c r="H26" s="53">
        <f>WORKDAY(I25,1)</f>
        <v>46015</v>
      </c>
      <c r="I26" s="53">
        <f t="shared" si="0"/>
        <v>46016</v>
      </c>
      <c r="J26" s="54">
        <f>G26/$N$4</f>
        <v>1</v>
      </c>
      <c r="K26" s="55" t="s">
        <v>22</v>
      </c>
    </row>
    <row r="27" spans="1:11">
      <c r="A27" s="51" t="s">
        <v>63</v>
      </c>
      <c r="B27" s="81" t="s">
        <v>64</v>
      </c>
      <c r="C27" s="51" t="s">
        <v>58</v>
      </c>
      <c r="D27" s="51" t="s">
        <v>50</v>
      </c>
      <c r="E27" s="51" t="s">
        <v>65</v>
      </c>
      <c r="F27" s="51" t="s">
        <v>18</v>
      </c>
      <c r="G27" s="52">
        <v>7</v>
      </c>
      <c r="H27" s="53">
        <f>WORKDAY(I22,1)</f>
        <v>46022</v>
      </c>
      <c r="I27" s="53">
        <f t="shared" si="0"/>
        <v>46031</v>
      </c>
      <c r="J27" s="54">
        <f>G27/$N$4</f>
        <v>7</v>
      </c>
      <c r="K27" s="55" t="s">
        <v>22</v>
      </c>
    </row>
    <row r="28" spans="1:11">
      <c r="A28" s="51" t="s">
        <v>63</v>
      </c>
      <c r="B28" s="81" t="s">
        <v>44</v>
      </c>
      <c r="C28" s="51" t="s">
        <v>58</v>
      </c>
      <c r="D28" s="51" t="s">
        <v>278</v>
      </c>
      <c r="E28" s="51" t="s">
        <v>66</v>
      </c>
      <c r="F28" s="51" t="s">
        <v>18</v>
      </c>
      <c r="G28" s="52">
        <v>3</v>
      </c>
      <c r="H28" s="53">
        <f>WORKDAY(I27,1)</f>
        <v>46034</v>
      </c>
      <c r="I28" s="53">
        <f t="shared" si="0"/>
        <v>46037</v>
      </c>
      <c r="J28" s="54">
        <f>G28/$N$4</f>
        <v>3</v>
      </c>
      <c r="K28" s="55" t="s">
        <v>22</v>
      </c>
    </row>
    <row r="29" spans="1:11">
      <c r="A29" s="51" t="s">
        <v>63</v>
      </c>
      <c r="B29" s="81" t="s">
        <v>44</v>
      </c>
      <c r="C29" s="51" t="s">
        <v>67</v>
      </c>
      <c r="D29" s="51" t="s">
        <v>46</v>
      </c>
      <c r="E29" s="51" t="s">
        <v>68</v>
      </c>
      <c r="F29" s="51" t="s">
        <v>280</v>
      </c>
      <c r="G29" s="52">
        <v>1.5</v>
      </c>
      <c r="H29" s="53">
        <f>WORKDAY(I25,1)</f>
        <v>46015</v>
      </c>
      <c r="I29" s="53">
        <f t="shared" si="0"/>
        <v>46020</v>
      </c>
      <c r="J29" s="54">
        <f>G29/$N$7</f>
        <v>3</v>
      </c>
      <c r="K29" s="55" t="s">
        <v>16</v>
      </c>
    </row>
    <row r="30" spans="1:11">
      <c r="A30" s="51" t="s">
        <v>63</v>
      </c>
      <c r="B30" s="81" t="s">
        <v>44</v>
      </c>
      <c r="C30" s="51" t="s">
        <v>67</v>
      </c>
      <c r="D30" s="51" t="s">
        <v>46</v>
      </c>
      <c r="E30" s="51" t="s">
        <v>69</v>
      </c>
      <c r="F30" s="51" t="s">
        <v>280</v>
      </c>
      <c r="G30" s="52">
        <v>1.5</v>
      </c>
      <c r="H30" s="53">
        <f>WORKDAY(I26,1)</f>
        <v>46017</v>
      </c>
      <c r="I30" s="53">
        <f t="shared" si="0"/>
        <v>46022</v>
      </c>
      <c r="J30" s="54">
        <f>G30/$N$7</f>
        <v>3</v>
      </c>
      <c r="K30" s="55" t="s">
        <v>16</v>
      </c>
    </row>
    <row r="31" spans="1:11">
      <c r="A31" s="51" t="s">
        <v>70</v>
      </c>
      <c r="B31" s="81" t="s">
        <v>44</v>
      </c>
      <c r="C31" s="51" t="s">
        <v>67</v>
      </c>
      <c r="D31" s="51" t="s">
        <v>50</v>
      </c>
      <c r="E31" s="51" t="s">
        <v>71</v>
      </c>
      <c r="F31" s="51" t="s">
        <v>281</v>
      </c>
      <c r="G31" s="52">
        <v>4</v>
      </c>
      <c r="H31" s="53">
        <f>WORKDAY(I30,1)</f>
        <v>46023</v>
      </c>
      <c r="I31" s="53">
        <f t="shared" si="0"/>
        <v>46029</v>
      </c>
      <c r="J31" s="54">
        <f>G31/$N$4</f>
        <v>4</v>
      </c>
      <c r="K31" s="55" t="s">
        <v>22</v>
      </c>
    </row>
    <row r="32" spans="1:11">
      <c r="A32" s="51" t="s">
        <v>70</v>
      </c>
      <c r="B32" s="81" t="s">
        <v>44</v>
      </c>
      <c r="C32" s="51" t="s">
        <v>67</v>
      </c>
      <c r="D32" s="51" t="s">
        <v>50</v>
      </c>
      <c r="E32" s="51" t="s">
        <v>72</v>
      </c>
      <c r="F32" s="51" t="s">
        <v>18</v>
      </c>
      <c r="G32" s="52">
        <v>4</v>
      </c>
      <c r="H32" s="53">
        <f>WORKDAY(I28,1)</f>
        <v>46038</v>
      </c>
      <c r="I32" s="53">
        <f t="shared" si="0"/>
        <v>46044</v>
      </c>
      <c r="J32" s="54">
        <f>G32/$N$4</f>
        <v>4</v>
      </c>
      <c r="K32" s="55" t="s">
        <v>22</v>
      </c>
    </row>
    <row r="33" spans="1:11">
      <c r="A33" s="51" t="s">
        <v>73</v>
      </c>
      <c r="B33" s="81" t="s">
        <v>44</v>
      </c>
      <c r="C33" s="51" t="s">
        <v>67</v>
      </c>
      <c r="D33" s="51" t="s">
        <v>278</v>
      </c>
      <c r="E33" s="51" t="s">
        <v>74</v>
      </c>
      <c r="F33" s="51" t="s">
        <v>18</v>
      </c>
      <c r="G33" s="52">
        <v>2</v>
      </c>
      <c r="H33" s="53">
        <f>WORKDAY(I32,1)</f>
        <v>46045</v>
      </c>
      <c r="I33" s="53">
        <f t="shared" si="0"/>
        <v>46049</v>
      </c>
      <c r="J33" s="54">
        <f>G33/$N$4</f>
        <v>2</v>
      </c>
      <c r="K33" s="55" t="s">
        <v>22</v>
      </c>
    </row>
    <row r="34" spans="1:11">
      <c r="A34" s="51" t="s">
        <v>63</v>
      </c>
      <c r="B34" s="81" t="s">
        <v>44</v>
      </c>
      <c r="C34" s="51" t="s">
        <v>75</v>
      </c>
      <c r="D34" s="51" t="s">
        <v>46</v>
      </c>
      <c r="E34" s="51" t="s">
        <v>76</v>
      </c>
      <c r="F34" s="51" t="s">
        <v>280</v>
      </c>
      <c r="G34" s="52">
        <v>1.5</v>
      </c>
      <c r="H34" s="53">
        <f>WORKDAY(I30,1)</f>
        <v>46023</v>
      </c>
      <c r="I34" s="53">
        <f>WORKDAY(H34,J34)</f>
        <v>46028</v>
      </c>
      <c r="J34" s="54">
        <f>G34/$N$7</f>
        <v>3</v>
      </c>
      <c r="K34" s="55" t="s">
        <v>16</v>
      </c>
    </row>
    <row r="35" spans="1:11">
      <c r="A35" s="51" t="s">
        <v>63</v>
      </c>
      <c r="B35" s="81" t="s">
        <v>44</v>
      </c>
      <c r="C35" s="51" t="s">
        <v>75</v>
      </c>
      <c r="D35" s="51" t="s">
        <v>46</v>
      </c>
      <c r="E35" s="51" t="s">
        <v>77</v>
      </c>
      <c r="F35" s="51" t="s">
        <v>280</v>
      </c>
      <c r="G35" s="52">
        <v>1.5</v>
      </c>
      <c r="H35" s="53">
        <f>WORKDAY(I34,1)</f>
        <v>46029</v>
      </c>
      <c r="I35" s="53">
        <f t="shared" ref="I35:I84" si="2">WORKDAY(H35,J35)</f>
        <v>46034</v>
      </c>
      <c r="J35" s="54">
        <f>G35/$N$7</f>
        <v>3</v>
      </c>
      <c r="K35" s="55" t="s">
        <v>16</v>
      </c>
    </row>
    <row r="36" spans="1:11">
      <c r="A36" s="51" t="s">
        <v>73</v>
      </c>
      <c r="B36" s="81" t="s">
        <v>44</v>
      </c>
      <c r="C36" s="51" t="s">
        <v>75</v>
      </c>
      <c r="D36" s="51" t="s">
        <v>50</v>
      </c>
      <c r="E36" s="51" t="s">
        <v>78</v>
      </c>
      <c r="F36" s="51" t="s">
        <v>281</v>
      </c>
      <c r="G36" s="52">
        <v>4</v>
      </c>
      <c r="H36" s="53">
        <f>WORKDAY(I31,1)</f>
        <v>46030</v>
      </c>
      <c r="I36" s="53">
        <f t="shared" si="2"/>
        <v>46036</v>
      </c>
      <c r="J36" s="54">
        <f>G36/$N$4</f>
        <v>4</v>
      </c>
      <c r="K36" s="55" t="s">
        <v>22</v>
      </c>
    </row>
    <row r="37" spans="1:11">
      <c r="A37" s="51" t="s">
        <v>73</v>
      </c>
      <c r="B37" s="81" t="s">
        <v>44</v>
      </c>
      <c r="C37" s="51" t="s">
        <v>75</v>
      </c>
      <c r="D37" s="51" t="s">
        <v>50</v>
      </c>
      <c r="E37" s="51" t="s">
        <v>79</v>
      </c>
      <c r="F37" s="51" t="s">
        <v>18</v>
      </c>
      <c r="G37" s="52">
        <v>4</v>
      </c>
      <c r="H37" s="53">
        <f>WORKDAY(I33,1)</f>
        <v>46050</v>
      </c>
      <c r="I37" s="53">
        <f t="shared" si="2"/>
        <v>46056</v>
      </c>
      <c r="J37" s="54">
        <f>G37/$N$4</f>
        <v>4</v>
      </c>
      <c r="K37" s="55" t="s">
        <v>22</v>
      </c>
    </row>
    <row r="38" spans="1:11">
      <c r="A38" s="82" t="s">
        <v>80</v>
      </c>
      <c r="B38" s="83" t="s">
        <v>44</v>
      </c>
      <c r="C38" s="82" t="s">
        <v>75</v>
      </c>
      <c r="D38" s="82" t="s">
        <v>278</v>
      </c>
      <c r="E38" s="82" t="s">
        <v>81</v>
      </c>
      <c r="F38" s="82" t="s">
        <v>18</v>
      </c>
      <c r="G38" s="84">
        <v>2</v>
      </c>
      <c r="H38" s="85">
        <f>WORKDAY(I37,1)</f>
        <v>46057</v>
      </c>
      <c r="I38" s="85">
        <f t="shared" si="2"/>
        <v>46059</v>
      </c>
      <c r="J38" s="54">
        <f>G38/$N$4</f>
        <v>2</v>
      </c>
      <c r="K38" s="87" t="s">
        <v>22</v>
      </c>
    </row>
    <row r="39" spans="1:11">
      <c r="A39" s="51" t="s">
        <v>43</v>
      </c>
      <c r="B39" s="81" t="s">
        <v>82</v>
      </c>
      <c r="C39" s="51" t="s">
        <v>45</v>
      </c>
      <c r="D39" s="51" t="s">
        <v>46</v>
      </c>
      <c r="E39" s="51" t="s">
        <v>83</v>
      </c>
      <c r="F39" s="51" t="s">
        <v>86</v>
      </c>
      <c r="G39" s="52">
        <v>3</v>
      </c>
      <c r="H39" s="53">
        <v>46022</v>
      </c>
      <c r="I39" s="53">
        <f t="shared" si="2"/>
        <v>46027</v>
      </c>
      <c r="J39" s="54">
        <f t="shared" ref="J39:J46" si="3">IF(F39="New AP Lead", G39/$N$5, IF(F39="Kent", G39/$N$4, ""))</f>
        <v>3</v>
      </c>
      <c r="K39" s="55" t="s">
        <v>22</v>
      </c>
    </row>
    <row r="40" spans="1:11">
      <c r="A40" s="51" t="s">
        <v>53</v>
      </c>
      <c r="B40" s="81" t="s">
        <v>84</v>
      </c>
      <c r="C40" s="51" t="s">
        <v>45</v>
      </c>
      <c r="D40" s="51" t="s">
        <v>46</v>
      </c>
      <c r="E40" s="51" t="s">
        <v>85</v>
      </c>
      <c r="F40" s="51" t="s">
        <v>86</v>
      </c>
      <c r="G40" s="52">
        <v>3</v>
      </c>
      <c r="H40" s="53">
        <f>WORKDAY(I39,1)</f>
        <v>46028</v>
      </c>
      <c r="I40" s="53">
        <f t="shared" si="2"/>
        <v>46031</v>
      </c>
      <c r="J40" s="54">
        <f t="shared" si="3"/>
        <v>3</v>
      </c>
      <c r="K40" s="55" t="s">
        <v>22</v>
      </c>
    </row>
    <row r="41" spans="1:11">
      <c r="A41" s="51" t="s">
        <v>53</v>
      </c>
      <c r="B41" s="81" t="s">
        <v>84</v>
      </c>
      <c r="C41" s="51" t="s">
        <v>45</v>
      </c>
      <c r="D41" s="51" t="s">
        <v>50</v>
      </c>
      <c r="E41" s="51" t="s">
        <v>51</v>
      </c>
      <c r="F41" s="51" t="s">
        <v>86</v>
      </c>
      <c r="G41" s="52">
        <v>4</v>
      </c>
      <c r="H41" s="53">
        <f>WORKDAY(I39,1)</f>
        <v>46028</v>
      </c>
      <c r="I41" s="53">
        <f t="shared" si="2"/>
        <v>46034</v>
      </c>
      <c r="J41" s="54">
        <f t="shared" si="3"/>
        <v>4</v>
      </c>
      <c r="K41" s="55" t="s">
        <v>22</v>
      </c>
    </row>
    <row r="42" spans="1:11">
      <c r="A42" s="51" t="s">
        <v>63</v>
      </c>
      <c r="B42" s="81" t="s">
        <v>84</v>
      </c>
      <c r="C42" s="51" t="s">
        <v>45</v>
      </c>
      <c r="D42" s="51" t="s">
        <v>50</v>
      </c>
      <c r="E42" s="51" t="s">
        <v>52</v>
      </c>
      <c r="F42" s="51" t="s">
        <v>86</v>
      </c>
      <c r="G42" s="52">
        <v>4</v>
      </c>
      <c r="H42" s="53">
        <f t="shared" ref="H42:H44" si="4">WORKDAY(I41,1)</f>
        <v>46035</v>
      </c>
      <c r="I42" s="53">
        <f t="shared" si="2"/>
        <v>46041</v>
      </c>
      <c r="J42" s="54">
        <f t="shared" si="3"/>
        <v>4</v>
      </c>
      <c r="K42" s="55" t="s">
        <v>22</v>
      </c>
    </row>
    <row r="43" spans="1:11">
      <c r="A43" s="51" t="s">
        <v>70</v>
      </c>
      <c r="B43" s="81" t="s">
        <v>84</v>
      </c>
      <c r="C43" s="51" t="s">
        <v>45</v>
      </c>
      <c r="D43" s="51" t="s">
        <v>50</v>
      </c>
      <c r="E43" s="51" t="s">
        <v>54</v>
      </c>
      <c r="F43" s="51" t="s">
        <v>86</v>
      </c>
      <c r="G43" s="52">
        <v>2</v>
      </c>
      <c r="H43" s="53">
        <f t="shared" si="4"/>
        <v>46042</v>
      </c>
      <c r="I43" s="53">
        <f t="shared" si="2"/>
        <v>46044</v>
      </c>
      <c r="J43" s="54">
        <f t="shared" si="3"/>
        <v>2</v>
      </c>
      <c r="K43" s="55" t="s">
        <v>22</v>
      </c>
    </row>
    <row r="44" spans="1:11">
      <c r="A44" s="51" t="s">
        <v>73</v>
      </c>
      <c r="B44" s="81" t="s">
        <v>84</v>
      </c>
      <c r="C44" s="51" t="s">
        <v>45</v>
      </c>
      <c r="D44" s="51" t="s">
        <v>278</v>
      </c>
      <c r="E44" s="51" t="s">
        <v>56</v>
      </c>
      <c r="F44" s="51" t="s">
        <v>86</v>
      </c>
      <c r="G44" s="52">
        <v>3</v>
      </c>
      <c r="H44" s="53">
        <f t="shared" si="4"/>
        <v>46045</v>
      </c>
      <c r="I44" s="53">
        <f t="shared" si="2"/>
        <v>46050</v>
      </c>
      <c r="J44" s="54">
        <f t="shared" si="3"/>
        <v>3</v>
      </c>
      <c r="K44" s="55" t="s">
        <v>22</v>
      </c>
    </row>
    <row r="45" spans="1:11">
      <c r="A45" s="51" t="s">
        <v>70</v>
      </c>
      <c r="B45" s="81" t="s">
        <v>84</v>
      </c>
      <c r="C45" s="77" t="s">
        <v>87</v>
      </c>
      <c r="D45" s="51" t="s">
        <v>46</v>
      </c>
      <c r="E45" s="51" t="s">
        <v>88</v>
      </c>
      <c r="F45" s="51" t="s">
        <v>86</v>
      </c>
      <c r="G45" s="52">
        <v>2</v>
      </c>
      <c r="H45" s="53">
        <f>WORKDAY(I44,1)</f>
        <v>46051</v>
      </c>
      <c r="I45" s="53">
        <f t="shared" si="2"/>
        <v>46055</v>
      </c>
      <c r="J45" s="54">
        <f t="shared" si="3"/>
        <v>2</v>
      </c>
      <c r="K45" s="55" t="s">
        <v>22</v>
      </c>
    </row>
    <row r="46" spans="1:11">
      <c r="A46" s="51" t="s">
        <v>70</v>
      </c>
      <c r="B46" s="81" t="s">
        <v>84</v>
      </c>
      <c r="C46" s="77" t="s">
        <v>87</v>
      </c>
      <c r="D46" s="51" t="s">
        <v>46</v>
      </c>
      <c r="E46" s="51" t="s">
        <v>89</v>
      </c>
      <c r="F46" s="51" t="s">
        <v>86</v>
      </c>
      <c r="G46" s="52">
        <v>2</v>
      </c>
      <c r="H46" s="53">
        <f t="shared" ref="H46:H52" si="5">WORKDAY(I45,1)</f>
        <v>46056</v>
      </c>
      <c r="I46" s="53">
        <f t="shared" si="2"/>
        <v>46058</v>
      </c>
      <c r="J46" s="54">
        <f t="shared" si="3"/>
        <v>2</v>
      </c>
      <c r="K46" s="55" t="s">
        <v>22</v>
      </c>
    </row>
    <row r="47" spans="1:11">
      <c r="A47" s="51" t="s">
        <v>70</v>
      </c>
      <c r="B47" s="81" t="s">
        <v>84</v>
      </c>
      <c r="C47" s="77" t="s">
        <v>87</v>
      </c>
      <c r="D47" s="51" t="s">
        <v>50</v>
      </c>
      <c r="E47" s="51" t="s">
        <v>90</v>
      </c>
      <c r="F47" s="51" t="s">
        <v>281</v>
      </c>
      <c r="G47" s="52">
        <v>2</v>
      </c>
      <c r="H47" s="53">
        <f t="shared" si="5"/>
        <v>46059</v>
      </c>
      <c r="I47" s="53">
        <f t="shared" si="2"/>
        <v>46063</v>
      </c>
      <c r="J47" s="54">
        <f>G47/$N$6</f>
        <v>2</v>
      </c>
      <c r="K47" s="55" t="s">
        <v>22</v>
      </c>
    </row>
    <row r="48" spans="1:11">
      <c r="A48" s="51" t="s">
        <v>73</v>
      </c>
      <c r="B48" s="81" t="s">
        <v>84</v>
      </c>
      <c r="C48" s="77" t="s">
        <v>87</v>
      </c>
      <c r="D48" s="51" t="s">
        <v>50</v>
      </c>
      <c r="E48" s="51" t="s">
        <v>91</v>
      </c>
      <c r="F48" s="51" t="s">
        <v>86</v>
      </c>
      <c r="G48" s="52">
        <v>8</v>
      </c>
      <c r="H48" s="53">
        <f>WORKDAY(I46,1)</f>
        <v>46059</v>
      </c>
      <c r="I48" s="53">
        <f t="shared" si="2"/>
        <v>46071</v>
      </c>
      <c r="J48" s="54">
        <f>IF(F48="New AP Lead", G48/$N$5, IF(F48="Kent", G48/$N$4, ""))</f>
        <v>8</v>
      </c>
      <c r="K48" s="55" t="s">
        <v>22</v>
      </c>
    </row>
    <row r="49" spans="1:11">
      <c r="A49" s="51" t="s">
        <v>73</v>
      </c>
      <c r="B49" s="81" t="s">
        <v>84</v>
      </c>
      <c r="C49" s="77" t="s">
        <v>87</v>
      </c>
      <c r="D49" s="51" t="s">
        <v>278</v>
      </c>
      <c r="E49" s="51" t="s">
        <v>92</v>
      </c>
      <c r="F49" s="51" t="s">
        <v>86</v>
      </c>
      <c r="G49" s="52">
        <v>2</v>
      </c>
      <c r="H49" s="53">
        <f t="shared" si="5"/>
        <v>46072</v>
      </c>
      <c r="I49" s="53">
        <f t="shared" si="2"/>
        <v>46076</v>
      </c>
      <c r="J49" s="54">
        <f>IF(F49="New AP Lead", G49/$N$5, IF(F49="Kent", G49/$N$4, ""))</f>
        <v>2</v>
      </c>
      <c r="K49" s="55" t="s">
        <v>22</v>
      </c>
    </row>
    <row r="50" spans="1:11">
      <c r="A50" s="51" t="s">
        <v>80</v>
      </c>
      <c r="B50" s="81" t="s">
        <v>84</v>
      </c>
      <c r="C50" s="77" t="s">
        <v>93</v>
      </c>
      <c r="D50" s="51" t="s">
        <v>46</v>
      </c>
      <c r="E50" s="51" t="s">
        <v>94</v>
      </c>
      <c r="F50" s="51" t="s">
        <v>18</v>
      </c>
      <c r="G50" s="52">
        <v>2</v>
      </c>
      <c r="H50" s="53">
        <f>WORKDAY(I38,1)</f>
        <v>46062</v>
      </c>
      <c r="I50" s="53">
        <f t="shared" si="2"/>
        <v>46064</v>
      </c>
      <c r="J50" s="54">
        <f>IF(F50="New AP Lead", G50/$N$5, IF(F50="Kent", G50/$N$4, ""))</f>
        <v>2</v>
      </c>
      <c r="K50" s="55" t="s">
        <v>22</v>
      </c>
    </row>
    <row r="51" spans="1:11">
      <c r="A51" s="51" t="s">
        <v>80</v>
      </c>
      <c r="B51" s="81" t="s">
        <v>84</v>
      </c>
      <c r="C51" s="77" t="s">
        <v>93</v>
      </c>
      <c r="D51" s="51" t="s">
        <v>46</v>
      </c>
      <c r="E51" s="51" t="s">
        <v>95</v>
      </c>
      <c r="F51" s="51" t="s">
        <v>18</v>
      </c>
      <c r="G51" s="52">
        <v>2</v>
      </c>
      <c r="H51" s="53">
        <f t="shared" si="5"/>
        <v>46065</v>
      </c>
      <c r="I51" s="53">
        <f t="shared" si="2"/>
        <v>46069</v>
      </c>
      <c r="J51" s="54">
        <f>IF(F51="New AP Lead", G51/$N$5, IF(F51="Kent", G51/$N$4, ""))</f>
        <v>2</v>
      </c>
      <c r="K51" s="55" t="s">
        <v>22</v>
      </c>
    </row>
    <row r="52" spans="1:11">
      <c r="A52" s="51" t="s">
        <v>80</v>
      </c>
      <c r="B52" s="81" t="s">
        <v>84</v>
      </c>
      <c r="C52" s="77" t="s">
        <v>93</v>
      </c>
      <c r="D52" s="51" t="s">
        <v>50</v>
      </c>
      <c r="E52" s="51" t="s">
        <v>96</v>
      </c>
      <c r="F52" s="51" t="s">
        <v>281</v>
      </c>
      <c r="G52" s="52">
        <v>2</v>
      </c>
      <c r="H52" s="53">
        <f t="shared" si="5"/>
        <v>46070</v>
      </c>
      <c r="I52" s="53">
        <f t="shared" si="2"/>
        <v>46072</v>
      </c>
      <c r="J52" s="54">
        <f>G52/$N$6</f>
        <v>2</v>
      </c>
      <c r="K52" s="55" t="s">
        <v>22</v>
      </c>
    </row>
    <row r="53" spans="1:11">
      <c r="A53" s="51" t="s">
        <v>97</v>
      </c>
      <c r="B53" s="81" t="s">
        <v>84</v>
      </c>
      <c r="C53" s="77" t="s">
        <v>93</v>
      </c>
      <c r="D53" s="51" t="s">
        <v>50</v>
      </c>
      <c r="E53" s="51" t="s">
        <v>98</v>
      </c>
      <c r="F53" s="51" t="s">
        <v>18</v>
      </c>
      <c r="G53" s="52">
        <v>8</v>
      </c>
      <c r="H53" s="53">
        <f>WORKDAY(I51,1)</f>
        <v>46070</v>
      </c>
      <c r="I53" s="53">
        <f t="shared" si="2"/>
        <v>46080</v>
      </c>
      <c r="J53" s="54">
        <f>IF(F53="New AP Lead", G53/$N$5, IF(F53="Kent", G53/$N$4, ""))</f>
        <v>8</v>
      </c>
      <c r="K53" s="55" t="s">
        <v>22</v>
      </c>
    </row>
    <row r="54" spans="1:11">
      <c r="A54" s="51" t="s">
        <v>100</v>
      </c>
      <c r="B54" s="81" t="s">
        <v>84</v>
      </c>
      <c r="C54" s="77" t="s">
        <v>93</v>
      </c>
      <c r="D54" s="51" t="s">
        <v>278</v>
      </c>
      <c r="E54" s="51" t="s">
        <v>101</v>
      </c>
      <c r="F54" s="51" t="s">
        <v>18</v>
      </c>
      <c r="G54" s="52">
        <v>2</v>
      </c>
      <c r="H54" s="53">
        <f>WORKDAY(I53,1)</f>
        <v>46083</v>
      </c>
      <c r="I54" s="53">
        <f t="shared" si="2"/>
        <v>46085</v>
      </c>
      <c r="J54" s="54">
        <f>IF(F54="New AP Lead", G54/$N$5, IF(F54="Kent", G54/$N$4, ""))</f>
        <v>2</v>
      </c>
      <c r="K54" s="55" t="s">
        <v>22</v>
      </c>
    </row>
    <row r="55" spans="1:11">
      <c r="A55" s="51" t="s">
        <v>80</v>
      </c>
      <c r="B55" s="81" t="s">
        <v>84</v>
      </c>
      <c r="C55" s="77" t="s">
        <v>102</v>
      </c>
      <c r="D55" s="51" t="s">
        <v>46</v>
      </c>
      <c r="E55" s="51" t="s">
        <v>103</v>
      </c>
      <c r="F55" s="51" t="s">
        <v>86</v>
      </c>
      <c r="G55" s="52">
        <v>2</v>
      </c>
      <c r="H55" s="53">
        <f>WORKDAY(I49,1)</f>
        <v>46077</v>
      </c>
      <c r="I55" s="53">
        <f t="shared" si="2"/>
        <v>46079</v>
      </c>
      <c r="J55" s="54">
        <f>IF(F55="New AP Lead", G55/$N$5, IF(F55="Kent", G55/$N$4, ""))</f>
        <v>2</v>
      </c>
      <c r="K55" s="55" t="s">
        <v>22</v>
      </c>
    </row>
    <row r="56" spans="1:11">
      <c r="A56" s="51" t="s">
        <v>97</v>
      </c>
      <c r="B56" s="81" t="s">
        <v>84</v>
      </c>
      <c r="C56" s="77" t="s">
        <v>102</v>
      </c>
      <c r="D56" s="51" t="s">
        <v>46</v>
      </c>
      <c r="E56" s="51" t="s">
        <v>104</v>
      </c>
      <c r="F56" s="51" t="s">
        <v>86</v>
      </c>
      <c r="G56" s="52">
        <v>2</v>
      </c>
      <c r="H56" s="53">
        <f>WORKDAY(I55,1)</f>
        <v>46080</v>
      </c>
      <c r="I56" s="53">
        <f t="shared" si="2"/>
        <v>46084</v>
      </c>
      <c r="J56" s="54">
        <f>IF(F56="New AP Lead", G56/$N$5, IF(F56="Kent", G56/$N$4, ""))</f>
        <v>2</v>
      </c>
      <c r="K56" s="55" t="s">
        <v>22</v>
      </c>
    </row>
    <row r="57" spans="1:11">
      <c r="A57" s="51" t="s">
        <v>97</v>
      </c>
      <c r="B57" s="81" t="s">
        <v>84</v>
      </c>
      <c r="C57" s="77" t="s">
        <v>102</v>
      </c>
      <c r="D57" s="51" t="s">
        <v>50</v>
      </c>
      <c r="E57" s="51" t="s">
        <v>105</v>
      </c>
      <c r="F57" s="51" t="s">
        <v>281</v>
      </c>
      <c r="G57" s="52">
        <v>2</v>
      </c>
      <c r="H57" s="53">
        <f t="shared" ref="H57:H74" si="6">WORKDAY(I56,1)</f>
        <v>46085</v>
      </c>
      <c r="I57" s="53">
        <f t="shared" si="2"/>
        <v>46087</v>
      </c>
      <c r="J57" s="54">
        <f>G57/$N$6</f>
        <v>2</v>
      </c>
      <c r="K57" s="55" t="s">
        <v>22</v>
      </c>
    </row>
    <row r="58" spans="1:11">
      <c r="A58" s="51" t="s">
        <v>100</v>
      </c>
      <c r="B58" s="81" t="s">
        <v>84</v>
      </c>
      <c r="C58" s="77" t="s">
        <v>102</v>
      </c>
      <c r="D58" s="51" t="s">
        <v>50</v>
      </c>
      <c r="E58" s="51" t="s">
        <v>106</v>
      </c>
      <c r="F58" s="51" t="s">
        <v>86</v>
      </c>
      <c r="G58" s="52">
        <v>8</v>
      </c>
      <c r="H58" s="53">
        <f>WORKDAY(I56,1)</f>
        <v>46085</v>
      </c>
      <c r="I58" s="53">
        <f t="shared" si="2"/>
        <v>46097</v>
      </c>
      <c r="J58" s="54">
        <f>IF(F58="New AP Lead", G58/$N$5, IF(F58="Kent", G58/$N$4, ""))</f>
        <v>8</v>
      </c>
      <c r="K58" s="55" t="s">
        <v>22</v>
      </c>
    </row>
    <row r="59" spans="1:11">
      <c r="A59" s="51" t="s">
        <v>107</v>
      </c>
      <c r="B59" s="81" t="s">
        <v>84</v>
      </c>
      <c r="C59" s="77" t="s">
        <v>102</v>
      </c>
      <c r="D59" s="51" t="s">
        <v>278</v>
      </c>
      <c r="E59" s="51" t="s">
        <v>108</v>
      </c>
      <c r="F59" s="51" t="s">
        <v>86</v>
      </c>
      <c r="G59" s="52">
        <v>2</v>
      </c>
      <c r="H59" s="53">
        <f t="shared" si="6"/>
        <v>46098</v>
      </c>
      <c r="I59" s="53">
        <f t="shared" si="2"/>
        <v>46100</v>
      </c>
      <c r="J59" s="54">
        <f>IF(F59="New AP Lead", G59/$N$5, IF(F59="Kent", G59/$N$4, ""))</f>
        <v>2</v>
      </c>
      <c r="K59" s="55" t="s">
        <v>22</v>
      </c>
    </row>
    <row r="60" spans="1:11">
      <c r="A60" s="51" t="s">
        <v>107</v>
      </c>
      <c r="B60" s="81" t="s">
        <v>84</v>
      </c>
      <c r="C60" s="77" t="s">
        <v>109</v>
      </c>
      <c r="D60" s="51" t="s">
        <v>46</v>
      </c>
      <c r="E60" s="51" t="s">
        <v>110</v>
      </c>
      <c r="F60" s="51" t="s">
        <v>18</v>
      </c>
      <c r="G60" s="52">
        <v>2</v>
      </c>
      <c r="H60" s="53">
        <f>WORKDAY(I54,1)</f>
        <v>46086</v>
      </c>
      <c r="I60" s="53">
        <f t="shared" si="2"/>
        <v>46090</v>
      </c>
      <c r="J60" s="54">
        <f>IF(F60="New AP Lead", G60/$N$5, IF(F60="Kent", G60/$N$4, ""))</f>
        <v>2</v>
      </c>
      <c r="K60" s="55" t="s">
        <v>22</v>
      </c>
    </row>
    <row r="61" spans="1:11">
      <c r="A61" s="51" t="s">
        <v>107</v>
      </c>
      <c r="B61" s="81" t="s">
        <v>84</v>
      </c>
      <c r="C61" s="77" t="s">
        <v>109</v>
      </c>
      <c r="D61" s="51" t="s">
        <v>46</v>
      </c>
      <c r="E61" s="51" t="s">
        <v>111</v>
      </c>
      <c r="F61" s="51" t="s">
        <v>18</v>
      </c>
      <c r="G61" s="52">
        <v>2</v>
      </c>
      <c r="H61" s="53">
        <f t="shared" si="6"/>
        <v>46091</v>
      </c>
      <c r="I61" s="53">
        <f t="shared" si="2"/>
        <v>46093</v>
      </c>
      <c r="J61" s="54">
        <f>IF(F61="New AP Lead", G61/$N$5, IF(F61="Kent", G61/$N$4, ""))</f>
        <v>2</v>
      </c>
      <c r="K61" s="55" t="s">
        <v>22</v>
      </c>
    </row>
    <row r="62" spans="1:11">
      <c r="A62" s="51" t="s">
        <v>107</v>
      </c>
      <c r="B62" s="81" t="s">
        <v>84</v>
      </c>
      <c r="C62" s="77" t="s">
        <v>109</v>
      </c>
      <c r="D62" s="51" t="s">
        <v>50</v>
      </c>
      <c r="E62" s="51" t="s">
        <v>112</v>
      </c>
      <c r="F62" s="51" t="s">
        <v>281</v>
      </c>
      <c r="G62" s="52">
        <v>2</v>
      </c>
      <c r="H62" s="53">
        <f t="shared" si="6"/>
        <v>46094</v>
      </c>
      <c r="I62" s="53">
        <f t="shared" si="2"/>
        <v>46098</v>
      </c>
      <c r="J62" s="54">
        <f>G62/$N$6</f>
        <v>2</v>
      </c>
      <c r="K62" s="55" t="s">
        <v>22</v>
      </c>
    </row>
    <row r="63" spans="1:11">
      <c r="A63" s="51" t="s">
        <v>113</v>
      </c>
      <c r="B63" s="81" t="s">
        <v>84</v>
      </c>
      <c r="C63" s="77" t="s">
        <v>109</v>
      </c>
      <c r="D63" s="51" t="s">
        <v>50</v>
      </c>
      <c r="E63" s="51" t="s">
        <v>114</v>
      </c>
      <c r="F63" s="51" t="s">
        <v>18</v>
      </c>
      <c r="G63" s="52">
        <v>8</v>
      </c>
      <c r="H63" s="53">
        <f>WORKDAY(I61,1)</f>
        <v>46094</v>
      </c>
      <c r="I63" s="53">
        <f t="shared" si="2"/>
        <v>46106</v>
      </c>
      <c r="J63" s="54">
        <f>IF(F63="New AP Lead", G63/$N$5, IF(F63="Kent", G63/$N$4, ""))</f>
        <v>8</v>
      </c>
      <c r="K63" s="55" t="s">
        <v>22</v>
      </c>
    </row>
    <row r="64" spans="1:11">
      <c r="A64" s="51" t="s">
        <v>115</v>
      </c>
      <c r="B64" s="81" t="s">
        <v>84</v>
      </c>
      <c r="C64" s="77" t="s">
        <v>109</v>
      </c>
      <c r="D64" s="51" t="s">
        <v>278</v>
      </c>
      <c r="E64" s="51" t="s">
        <v>116</v>
      </c>
      <c r="F64" s="51" t="s">
        <v>18</v>
      </c>
      <c r="G64" s="52">
        <v>2</v>
      </c>
      <c r="H64" s="53">
        <f t="shared" si="6"/>
        <v>46107</v>
      </c>
      <c r="I64" s="53">
        <f t="shared" si="2"/>
        <v>46111</v>
      </c>
      <c r="J64" s="54">
        <f>IF(F64="New AP Lead", G64/$N$5, IF(F64="Kent", G64/$N$4, ""))</f>
        <v>2</v>
      </c>
      <c r="K64" s="55" t="s">
        <v>22</v>
      </c>
    </row>
    <row r="65" spans="1:11">
      <c r="A65" s="51" t="s">
        <v>115</v>
      </c>
      <c r="B65" s="81" t="s">
        <v>84</v>
      </c>
      <c r="C65" s="77" t="s">
        <v>117</v>
      </c>
      <c r="D65" s="51" t="s">
        <v>46</v>
      </c>
      <c r="E65" s="51" t="s">
        <v>118</v>
      </c>
      <c r="F65" s="51" t="s">
        <v>18</v>
      </c>
      <c r="G65" s="52">
        <v>1</v>
      </c>
      <c r="H65" s="53">
        <f>WORKDAY(I64,1)</f>
        <v>46112</v>
      </c>
      <c r="I65" s="53">
        <f t="shared" si="2"/>
        <v>46113</v>
      </c>
      <c r="J65" s="54">
        <f>IF(F65="New AP Lead", G65/$N$5, IF(F65="Kent", G65/$N$4, ""))</f>
        <v>1</v>
      </c>
      <c r="K65" s="55" t="s">
        <v>22</v>
      </c>
    </row>
    <row r="66" spans="1:11">
      <c r="A66" s="51" t="s">
        <v>115</v>
      </c>
      <c r="B66" s="81" t="s">
        <v>84</v>
      </c>
      <c r="C66" s="77" t="s">
        <v>117</v>
      </c>
      <c r="D66" s="51" t="s">
        <v>46</v>
      </c>
      <c r="E66" s="51" t="s">
        <v>119</v>
      </c>
      <c r="F66" s="51" t="s">
        <v>18</v>
      </c>
      <c r="G66" s="52">
        <v>2</v>
      </c>
      <c r="H66" s="53">
        <f t="shared" si="6"/>
        <v>46114</v>
      </c>
      <c r="I66" s="53">
        <f t="shared" si="2"/>
        <v>46118</v>
      </c>
      <c r="J66" s="54">
        <f>IF(F66="New AP Lead", G66/$N$5, IF(F66="Kent", G66/$N$4, ""))</f>
        <v>2</v>
      </c>
      <c r="K66" s="55" t="s">
        <v>22</v>
      </c>
    </row>
    <row r="67" spans="1:11">
      <c r="A67" s="51" t="s">
        <v>115</v>
      </c>
      <c r="B67" s="81" t="s">
        <v>84</v>
      </c>
      <c r="C67" s="77" t="s">
        <v>117</v>
      </c>
      <c r="D67" s="51" t="s">
        <v>50</v>
      </c>
      <c r="E67" s="51" t="s">
        <v>120</v>
      </c>
      <c r="F67" s="51" t="s">
        <v>18</v>
      </c>
      <c r="G67" s="52">
        <v>1</v>
      </c>
      <c r="H67" s="53">
        <f t="shared" si="6"/>
        <v>46119</v>
      </c>
      <c r="I67" s="53">
        <f t="shared" si="2"/>
        <v>46120</v>
      </c>
      <c r="J67" s="54">
        <f>G67/$N$6</f>
        <v>1</v>
      </c>
      <c r="K67" s="55" t="s">
        <v>22</v>
      </c>
    </row>
    <row r="68" spans="1:11">
      <c r="A68" s="51" t="s">
        <v>121</v>
      </c>
      <c r="B68" s="81" t="s">
        <v>84</v>
      </c>
      <c r="C68" s="77" t="s">
        <v>117</v>
      </c>
      <c r="D68" s="51" t="s">
        <v>50</v>
      </c>
      <c r="E68" s="51" t="s">
        <v>122</v>
      </c>
      <c r="F68" s="51" t="s">
        <v>18</v>
      </c>
      <c r="G68" s="52">
        <v>3</v>
      </c>
      <c r="H68" s="53">
        <f>WORKDAY(I66,1)</f>
        <v>46119</v>
      </c>
      <c r="I68" s="53">
        <f t="shared" si="2"/>
        <v>46122</v>
      </c>
      <c r="J68" s="54">
        <f>IF(F68="New AP Lead", G68/$N$5, IF(F68="Kent", G68/$N$4, ""))</f>
        <v>3</v>
      </c>
      <c r="K68" s="55" t="s">
        <v>22</v>
      </c>
    </row>
    <row r="69" spans="1:11">
      <c r="A69" s="51" t="s">
        <v>121</v>
      </c>
      <c r="B69" s="81" t="s">
        <v>84</v>
      </c>
      <c r="C69" s="77" t="s">
        <v>117</v>
      </c>
      <c r="D69" s="51" t="s">
        <v>278</v>
      </c>
      <c r="E69" s="51" t="s">
        <v>123</v>
      </c>
      <c r="F69" s="51" t="s">
        <v>18</v>
      </c>
      <c r="G69" s="52">
        <v>2</v>
      </c>
      <c r="H69" s="53">
        <f t="shared" si="6"/>
        <v>46125</v>
      </c>
      <c r="I69" s="53">
        <f t="shared" si="2"/>
        <v>46127</v>
      </c>
      <c r="J69" s="54">
        <f>IF(F69="New AP Lead", G69/$N$5, IF(F69="Kent", G69/$N$4, ""))</f>
        <v>2</v>
      </c>
      <c r="K69" s="55" t="s">
        <v>22</v>
      </c>
    </row>
    <row r="70" spans="1:11">
      <c r="A70" s="51" t="s">
        <v>121</v>
      </c>
      <c r="B70" s="81" t="s">
        <v>84</v>
      </c>
      <c r="C70" s="77" t="s">
        <v>124</v>
      </c>
      <c r="D70" s="51" t="s">
        <v>46</v>
      </c>
      <c r="E70" s="51" t="s">
        <v>118</v>
      </c>
      <c r="F70" s="51" t="s">
        <v>86</v>
      </c>
      <c r="G70" s="52">
        <v>1</v>
      </c>
      <c r="H70" s="53">
        <f>WORKDAY(I64,1)</f>
        <v>46112</v>
      </c>
      <c r="I70" s="53">
        <f t="shared" si="2"/>
        <v>46113</v>
      </c>
      <c r="J70" s="54">
        <f>IF(F70="New AP Lead", G70/$N$5, IF(F70="Kent", G70/$N$4, ""))</f>
        <v>1</v>
      </c>
      <c r="K70" s="55" t="s">
        <v>22</v>
      </c>
    </row>
    <row r="71" spans="1:11">
      <c r="A71" s="51" t="s">
        <v>125</v>
      </c>
      <c r="B71" s="81" t="s">
        <v>84</v>
      </c>
      <c r="C71" s="77" t="s">
        <v>124</v>
      </c>
      <c r="D71" s="51" t="s">
        <v>46</v>
      </c>
      <c r="E71" s="51" t="s">
        <v>119</v>
      </c>
      <c r="F71" s="51" t="s">
        <v>86</v>
      </c>
      <c r="G71" s="52">
        <v>2</v>
      </c>
      <c r="H71" s="53">
        <f t="shared" si="6"/>
        <v>46114</v>
      </c>
      <c r="I71" s="53">
        <f t="shared" si="2"/>
        <v>46118</v>
      </c>
      <c r="J71" s="54">
        <f>IF(F71="New AP Lead", G71/$N$5, IF(F71="Kent", G71/$N$4, ""))</f>
        <v>2</v>
      </c>
      <c r="K71" s="55" t="s">
        <v>22</v>
      </c>
    </row>
    <row r="72" spans="1:11">
      <c r="A72" s="51" t="s">
        <v>125</v>
      </c>
      <c r="B72" s="81" t="s">
        <v>84</v>
      </c>
      <c r="C72" s="77" t="s">
        <v>124</v>
      </c>
      <c r="D72" s="51" t="s">
        <v>50</v>
      </c>
      <c r="E72" s="51" t="s">
        <v>120</v>
      </c>
      <c r="F72" s="51" t="s">
        <v>86</v>
      </c>
      <c r="G72" s="52">
        <v>2</v>
      </c>
      <c r="H72" s="53">
        <f t="shared" si="6"/>
        <v>46119</v>
      </c>
      <c r="I72" s="53">
        <f t="shared" si="2"/>
        <v>46121</v>
      </c>
      <c r="J72" s="54">
        <f>G72/$N$6</f>
        <v>2</v>
      </c>
      <c r="K72" s="55" t="s">
        <v>22</v>
      </c>
    </row>
    <row r="73" spans="1:11">
      <c r="A73" s="51" t="s">
        <v>125</v>
      </c>
      <c r="B73" s="81" t="s">
        <v>84</v>
      </c>
      <c r="C73" s="77" t="s">
        <v>124</v>
      </c>
      <c r="D73" s="51" t="s">
        <v>50</v>
      </c>
      <c r="E73" s="51" t="s">
        <v>122</v>
      </c>
      <c r="F73" s="51" t="s">
        <v>86</v>
      </c>
      <c r="G73" s="52">
        <v>2</v>
      </c>
      <c r="H73" s="53">
        <f>WORKDAY(I71,1)</f>
        <v>46119</v>
      </c>
      <c r="I73" s="53">
        <f t="shared" si="2"/>
        <v>46121</v>
      </c>
      <c r="J73" s="54">
        <f>IF(F73="New AP Lead", G73/$N$5, IF(F73="Kent", G73/$N$4, ""))</f>
        <v>2</v>
      </c>
      <c r="K73" s="55" t="s">
        <v>22</v>
      </c>
    </row>
    <row r="74" spans="1:11">
      <c r="A74" s="51" t="s">
        <v>125</v>
      </c>
      <c r="B74" s="81" t="s">
        <v>84</v>
      </c>
      <c r="C74" s="77" t="s">
        <v>124</v>
      </c>
      <c r="D74" s="51" t="s">
        <v>278</v>
      </c>
      <c r="E74" s="51" t="s">
        <v>123</v>
      </c>
      <c r="F74" s="51" t="s">
        <v>86</v>
      </c>
      <c r="G74" s="52">
        <v>2</v>
      </c>
      <c r="H74" s="53">
        <f t="shared" si="6"/>
        <v>46122</v>
      </c>
      <c r="I74" s="53">
        <f t="shared" si="2"/>
        <v>46126</v>
      </c>
      <c r="J74" s="54">
        <f>IF(F74="New AP Lead", G74/$N$5, IF(F74="Kent", G74/$N$4, ""))</f>
        <v>2</v>
      </c>
      <c r="K74" s="55" t="s">
        <v>22</v>
      </c>
    </row>
    <row r="75" spans="1:11">
      <c r="A75" s="51" t="s">
        <v>73</v>
      </c>
      <c r="B75" s="81" t="s">
        <v>84</v>
      </c>
      <c r="C75" s="51" t="s">
        <v>126</v>
      </c>
      <c r="D75" s="51" t="s">
        <v>46</v>
      </c>
      <c r="E75" s="51" t="s">
        <v>127</v>
      </c>
      <c r="F75" s="51" t="s">
        <v>18</v>
      </c>
      <c r="G75" s="52">
        <v>1</v>
      </c>
      <c r="H75" s="53">
        <f>WORKDAY(I69,1)</f>
        <v>46128</v>
      </c>
      <c r="I75" s="53">
        <f t="shared" si="2"/>
        <v>46129</v>
      </c>
      <c r="J75" s="54">
        <f>IF(F75="New AP Lead", G75/$N$5, IF(F75="Kent", G75/$N$4, ""))</f>
        <v>1</v>
      </c>
      <c r="K75" s="55" t="s">
        <v>22</v>
      </c>
    </row>
    <row r="76" spans="1:11">
      <c r="A76" s="51" t="s">
        <v>80</v>
      </c>
      <c r="B76" s="81" t="s">
        <v>84</v>
      </c>
      <c r="C76" s="51" t="s">
        <v>126</v>
      </c>
      <c r="D76" s="51" t="s">
        <v>46</v>
      </c>
      <c r="E76" s="51" t="s">
        <v>128</v>
      </c>
      <c r="F76" s="51" t="s">
        <v>18</v>
      </c>
      <c r="G76" s="52">
        <v>1</v>
      </c>
      <c r="H76" s="53">
        <f t="shared" ref="H76:H77" si="7">WORKDAY(I75,1)</f>
        <v>46132</v>
      </c>
      <c r="I76" s="53">
        <f t="shared" si="2"/>
        <v>46133</v>
      </c>
      <c r="J76" s="54">
        <f>IF(F76="New AP Lead", G76/$N$5, IF(F76="Kent", G76/$N$4, ""))</f>
        <v>1</v>
      </c>
      <c r="K76" s="55" t="s">
        <v>22</v>
      </c>
    </row>
    <row r="77" spans="1:11">
      <c r="A77" s="51" t="s">
        <v>80</v>
      </c>
      <c r="B77" s="81" t="s">
        <v>84</v>
      </c>
      <c r="C77" s="51" t="s">
        <v>126</v>
      </c>
      <c r="D77" s="51" t="s">
        <v>50</v>
      </c>
      <c r="E77" s="51" t="s">
        <v>129</v>
      </c>
      <c r="F77" s="51" t="s">
        <v>281</v>
      </c>
      <c r="G77" s="52">
        <v>1</v>
      </c>
      <c r="H77" s="53">
        <f t="shared" si="7"/>
        <v>46134</v>
      </c>
      <c r="I77" s="53">
        <f t="shared" si="2"/>
        <v>46135</v>
      </c>
      <c r="J77" s="54">
        <f>G77/$N$6</f>
        <v>1</v>
      </c>
      <c r="K77" s="55" t="s">
        <v>22</v>
      </c>
    </row>
    <row r="78" spans="1:11">
      <c r="A78" s="51" t="s">
        <v>80</v>
      </c>
      <c r="B78" s="81" t="s">
        <v>84</v>
      </c>
      <c r="C78" s="51" t="s">
        <v>126</v>
      </c>
      <c r="D78" s="51" t="s">
        <v>50</v>
      </c>
      <c r="E78" s="51" t="s">
        <v>130</v>
      </c>
      <c r="F78" s="51" t="s">
        <v>18</v>
      </c>
      <c r="G78" s="52">
        <v>2</v>
      </c>
      <c r="H78" s="53">
        <f>WORKDAY(I76,1)</f>
        <v>46134</v>
      </c>
      <c r="I78" s="53">
        <f t="shared" si="2"/>
        <v>46136</v>
      </c>
      <c r="J78" s="54">
        <f>IF(F78="New AP Lead", G78/$N$5, IF(F78="Kent", G78/$N$4, ""))</f>
        <v>2</v>
      </c>
      <c r="K78" s="55" t="s">
        <v>22</v>
      </c>
    </row>
    <row r="79" spans="1:11">
      <c r="A79" s="51" t="s">
        <v>97</v>
      </c>
      <c r="B79" s="81" t="s">
        <v>84</v>
      </c>
      <c r="C79" s="51" t="s">
        <v>126</v>
      </c>
      <c r="D79" s="51" t="s">
        <v>278</v>
      </c>
      <c r="E79" s="51" t="s">
        <v>131</v>
      </c>
      <c r="F79" s="51" t="s">
        <v>18</v>
      </c>
      <c r="G79" s="52">
        <v>1</v>
      </c>
      <c r="H79" s="53">
        <f>WORKDAY(I78,1)</f>
        <v>46139</v>
      </c>
      <c r="I79" s="53">
        <f t="shared" si="2"/>
        <v>46140</v>
      </c>
      <c r="J79" s="54">
        <f>IF(F79="New AP Lead", G79/$N$5, IF(F79="Kent", G79/$N$4, ""))</f>
        <v>1</v>
      </c>
      <c r="K79" s="55" t="s">
        <v>22</v>
      </c>
    </row>
    <row r="80" spans="1:11">
      <c r="A80" s="51" t="s">
        <v>97</v>
      </c>
      <c r="B80" s="81" t="s">
        <v>84</v>
      </c>
      <c r="C80" s="51" t="s">
        <v>132</v>
      </c>
      <c r="D80" s="51" t="s">
        <v>46</v>
      </c>
      <c r="E80" s="51" t="s">
        <v>133</v>
      </c>
      <c r="F80" s="51" t="s">
        <v>86</v>
      </c>
      <c r="G80" s="52">
        <v>1</v>
      </c>
      <c r="H80" s="53">
        <f>WORKDAY(I74,1)</f>
        <v>46127</v>
      </c>
      <c r="I80" s="53">
        <f t="shared" si="2"/>
        <v>46128</v>
      </c>
      <c r="J80" s="54">
        <f>IF(F80="New AP Lead", G80/$N$5, IF(F80="Kent", G80/$N$4, ""))</f>
        <v>1</v>
      </c>
      <c r="K80" s="55" t="s">
        <v>22</v>
      </c>
    </row>
    <row r="81" spans="1:11">
      <c r="A81" s="51" t="s">
        <v>100</v>
      </c>
      <c r="B81" s="81" t="s">
        <v>84</v>
      </c>
      <c r="C81" s="51" t="s">
        <v>132</v>
      </c>
      <c r="D81" s="51" t="s">
        <v>46</v>
      </c>
      <c r="E81" s="51" t="s">
        <v>134</v>
      </c>
      <c r="F81" s="51" t="s">
        <v>86</v>
      </c>
      <c r="G81" s="52">
        <v>1</v>
      </c>
      <c r="H81" s="53">
        <f t="shared" ref="H81" si="8">WORKDAY(I80,1)</f>
        <v>46129</v>
      </c>
      <c r="I81" s="53">
        <f t="shared" si="2"/>
        <v>46132</v>
      </c>
      <c r="J81" s="54">
        <f>IF(F81="New AP Lead", G81/$N$5, IF(F81="Kent", G81/$N$4, ""))</f>
        <v>1</v>
      </c>
      <c r="K81" s="55" t="s">
        <v>22</v>
      </c>
    </row>
    <row r="82" spans="1:11">
      <c r="A82" s="51" t="s">
        <v>100</v>
      </c>
      <c r="B82" s="81" t="s">
        <v>84</v>
      </c>
      <c r="C82" s="51" t="s">
        <v>132</v>
      </c>
      <c r="D82" s="51" t="s">
        <v>50</v>
      </c>
      <c r="E82" s="51" t="s">
        <v>135</v>
      </c>
      <c r="F82" s="51" t="s">
        <v>281</v>
      </c>
      <c r="G82" s="52">
        <v>1</v>
      </c>
      <c r="H82" s="53">
        <f>WORKDAY(I81,1)</f>
        <v>46133</v>
      </c>
      <c r="I82" s="53">
        <f t="shared" si="2"/>
        <v>46134</v>
      </c>
      <c r="J82" s="54">
        <f>G82/$N$6</f>
        <v>1</v>
      </c>
      <c r="K82" s="55" t="s">
        <v>22</v>
      </c>
    </row>
    <row r="83" spans="1:11">
      <c r="A83" s="51" t="s">
        <v>100</v>
      </c>
      <c r="B83" s="81" t="s">
        <v>84</v>
      </c>
      <c r="C83" s="51" t="s">
        <v>132</v>
      </c>
      <c r="D83" s="51" t="s">
        <v>50</v>
      </c>
      <c r="E83" s="51" t="s">
        <v>136</v>
      </c>
      <c r="F83" s="51" t="s">
        <v>86</v>
      </c>
      <c r="G83" s="52">
        <v>2</v>
      </c>
      <c r="H83" s="53">
        <f>WORKDAY(I81,1)</f>
        <v>46133</v>
      </c>
      <c r="I83" s="53">
        <f t="shared" si="2"/>
        <v>46135</v>
      </c>
      <c r="J83" s="54">
        <f>IF(F83="New AP Lead", G83/$N$5, IF(F83="Kent", G83/$N$4, ""))</f>
        <v>2</v>
      </c>
      <c r="K83" s="55" t="s">
        <v>22</v>
      </c>
    </row>
    <row r="84" spans="1:11">
      <c r="A84" s="51" t="s">
        <v>107</v>
      </c>
      <c r="B84" s="81" t="s">
        <v>84</v>
      </c>
      <c r="C84" s="51" t="s">
        <v>132</v>
      </c>
      <c r="D84" s="51" t="s">
        <v>278</v>
      </c>
      <c r="E84" s="51" t="s">
        <v>137</v>
      </c>
      <c r="F84" s="51" t="s">
        <v>86</v>
      </c>
      <c r="G84" s="52">
        <v>1</v>
      </c>
      <c r="H84" s="53">
        <f>WORKDAY(I83,1)</f>
        <v>46136</v>
      </c>
      <c r="I84" s="53">
        <f t="shared" si="2"/>
        <v>46139</v>
      </c>
      <c r="J84" s="54">
        <f>IF(F84="New AP Lead", G84/$N$5, IF(F84="Kent", G84/$N$4, ""))</f>
        <v>1</v>
      </c>
      <c r="K84" s="55" t="s">
        <v>22</v>
      </c>
    </row>
    <row r="85" spans="1:11">
      <c r="A85" s="51" t="s">
        <v>107</v>
      </c>
      <c r="B85" s="81" t="s">
        <v>84</v>
      </c>
      <c r="C85" s="51" t="s">
        <v>138</v>
      </c>
      <c r="D85" s="51" t="s">
        <v>46</v>
      </c>
      <c r="E85" s="51" t="s">
        <v>139</v>
      </c>
      <c r="F85" s="51" t="s">
        <v>18</v>
      </c>
      <c r="G85" s="52">
        <v>2</v>
      </c>
      <c r="H85" s="53">
        <f>WORKDAY(I79,1)</f>
        <v>46141</v>
      </c>
      <c r="I85" s="53">
        <f>WORKDAY(H85,J85)</f>
        <v>46143</v>
      </c>
      <c r="J85" s="54">
        <f>IF(F85="New AP Lead", G85/$N$5, IF(F85="Kent", G85/$N$4, ""))</f>
        <v>2</v>
      </c>
      <c r="K85" s="55" t="s">
        <v>22</v>
      </c>
    </row>
    <row r="86" spans="1:11">
      <c r="A86" s="51" t="s">
        <v>113</v>
      </c>
      <c r="B86" s="81" t="s">
        <v>84</v>
      </c>
      <c r="C86" s="51" t="s">
        <v>138</v>
      </c>
      <c r="D86" s="51" t="s">
        <v>46</v>
      </c>
      <c r="E86" s="51" t="s">
        <v>140</v>
      </c>
      <c r="F86" s="51" t="s">
        <v>18</v>
      </c>
      <c r="G86" s="52">
        <v>2</v>
      </c>
      <c r="H86" s="53">
        <f t="shared" ref="H86:H89" si="9">WORKDAY(I85,1)</f>
        <v>46146</v>
      </c>
      <c r="I86" s="53">
        <f t="shared" ref="I86:I109" si="10">WORKDAY(H86,J86)</f>
        <v>46148</v>
      </c>
      <c r="J86" s="54">
        <f>IF(F86="New AP Lead", G86/$N$5, IF(F86="Kent", G86/$N$4, ""))</f>
        <v>2</v>
      </c>
      <c r="K86" s="55" t="s">
        <v>22</v>
      </c>
    </row>
    <row r="87" spans="1:11">
      <c r="A87" s="51" t="s">
        <v>113</v>
      </c>
      <c r="B87" s="81" t="s">
        <v>84</v>
      </c>
      <c r="C87" s="51" t="s">
        <v>138</v>
      </c>
      <c r="D87" s="51" t="s">
        <v>50</v>
      </c>
      <c r="E87" s="51" t="s">
        <v>141</v>
      </c>
      <c r="F87" s="51" t="s">
        <v>281</v>
      </c>
      <c r="G87" s="52">
        <v>3</v>
      </c>
      <c r="H87" s="53">
        <f t="shared" si="9"/>
        <v>46149</v>
      </c>
      <c r="I87" s="53">
        <f t="shared" si="10"/>
        <v>46154</v>
      </c>
      <c r="J87" s="54">
        <f>G87/$N$6</f>
        <v>3</v>
      </c>
      <c r="K87" s="55" t="s">
        <v>22</v>
      </c>
    </row>
    <row r="88" spans="1:11">
      <c r="A88" s="51" t="s">
        <v>115</v>
      </c>
      <c r="B88" s="81" t="s">
        <v>84</v>
      </c>
      <c r="C88" s="51" t="s">
        <v>138</v>
      </c>
      <c r="D88" s="51" t="s">
        <v>50</v>
      </c>
      <c r="E88" s="51" t="s">
        <v>142</v>
      </c>
      <c r="F88" s="51" t="s">
        <v>18</v>
      </c>
      <c r="G88" s="52">
        <v>5</v>
      </c>
      <c r="H88" s="53">
        <f>WORKDAY(I86,1)</f>
        <v>46149</v>
      </c>
      <c r="I88" s="53">
        <f t="shared" si="10"/>
        <v>46156</v>
      </c>
      <c r="J88" s="54">
        <f>IF(F88="New AP Lead", G88/$N$5, IF(F88="Kent", G88/$N$4, ""))</f>
        <v>5</v>
      </c>
      <c r="K88" s="55" t="s">
        <v>22</v>
      </c>
    </row>
    <row r="89" spans="1:11">
      <c r="A89" s="51" t="s">
        <v>121</v>
      </c>
      <c r="B89" s="81" t="s">
        <v>84</v>
      </c>
      <c r="C89" s="51" t="s">
        <v>138</v>
      </c>
      <c r="D89" s="51" t="s">
        <v>278</v>
      </c>
      <c r="E89" s="51" t="s">
        <v>143</v>
      </c>
      <c r="F89" s="51" t="s">
        <v>18</v>
      </c>
      <c r="G89" s="52">
        <v>1</v>
      </c>
      <c r="H89" s="53">
        <f t="shared" si="9"/>
        <v>46157</v>
      </c>
      <c r="I89" s="53">
        <f t="shared" si="10"/>
        <v>46160</v>
      </c>
      <c r="J89" s="54">
        <f>IF(F89="New AP Lead", G89/$N$5, IF(F89="Kent", G89/$N$4, ""))</f>
        <v>1</v>
      </c>
      <c r="K89" s="55" t="s">
        <v>22</v>
      </c>
    </row>
    <row r="90" spans="1:11">
      <c r="A90" s="51" t="s">
        <v>121</v>
      </c>
      <c r="B90" s="81" t="s">
        <v>84</v>
      </c>
      <c r="C90" s="51" t="s">
        <v>144</v>
      </c>
      <c r="D90" s="51" t="s">
        <v>46</v>
      </c>
      <c r="E90" s="51" t="s">
        <v>145</v>
      </c>
      <c r="F90" s="51" t="s">
        <v>86</v>
      </c>
      <c r="G90" s="52">
        <v>1</v>
      </c>
      <c r="H90" s="53">
        <f>WORKDAY(I84,1)</f>
        <v>46140</v>
      </c>
      <c r="I90" s="53">
        <f t="shared" si="10"/>
        <v>46141</v>
      </c>
      <c r="J90" s="54">
        <f>IF(F90="New AP Lead", G90/$N$5, IF(F90="Kent", G90/$N$4, ""))</f>
        <v>1</v>
      </c>
      <c r="K90" s="55" t="s">
        <v>22</v>
      </c>
    </row>
    <row r="91" spans="1:11">
      <c r="A91" s="51" t="s">
        <v>121</v>
      </c>
      <c r="B91" s="81" t="s">
        <v>84</v>
      </c>
      <c r="C91" s="51" t="s">
        <v>144</v>
      </c>
      <c r="D91" s="51" t="s">
        <v>46</v>
      </c>
      <c r="E91" s="51" t="s">
        <v>146</v>
      </c>
      <c r="F91" s="51" t="s">
        <v>86</v>
      </c>
      <c r="G91" s="52">
        <v>2</v>
      </c>
      <c r="H91" s="53">
        <f>WORKDAY(I90,1)</f>
        <v>46142</v>
      </c>
      <c r="I91" s="53">
        <f t="shared" si="10"/>
        <v>46146</v>
      </c>
      <c r="J91" s="54">
        <f>IF(F91="New AP Lead", G91/$N$5, IF(F91="Kent", G91/$N$4, ""))</f>
        <v>2</v>
      </c>
      <c r="K91" s="55" t="s">
        <v>22</v>
      </c>
    </row>
    <row r="92" spans="1:11">
      <c r="A92" s="51" t="s">
        <v>125</v>
      </c>
      <c r="B92" s="81" t="s">
        <v>84</v>
      </c>
      <c r="C92" s="51" t="s">
        <v>144</v>
      </c>
      <c r="D92" s="51" t="s">
        <v>50</v>
      </c>
      <c r="E92" s="51" t="s">
        <v>147</v>
      </c>
      <c r="F92" s="51" t="s">
        <v>281</v>
      </c>
      <c r="G92" s="52">
        <v>2</v>
      </c>
      <c r="H92" s="53">
        <f t="shared" ref="H92:H99" si="11">WORKDAY(I91,1)</f>
        <v>46147</v>
      </c>
      <c r="I92" s="53">
        <f t="shared" si="10"/>
        <v>46149</v>
      </c>
      <c r="J92" s="54">
        <f>G92/$N$6</f>
        <v>2</v>
      </c>
      <c r="K92" s="55" t="s">
        <v>22</v>
      </c>
    </row>
    <row r="93" spans="1:11">
      <c r="A93" s="51" t="s">
        <v>125</v>
      </c>
      <c r="B93" s="81" t="s">
        <v>84</v>
      </c>
      <c r="C93" s="51" t="s">
        <v>144</v>
      </c>
      <c r="D93" s="51" t="s">
        <v>50</v>
      </c>
      <c r="E93" s="51" t="s">
        <v>148</v>
      </c>
      <c r="F93" s="51" t="s">
        <v>86</v>
      </c>
      <c r="G93" s="52">
        <v>4</v>
      </c>
      <c r="H93" s="53">
        <f t="shared" si="11"/>
        <v>46150</v>
      </c>
      <c r="I93" s="53">
        <f t="shared" si="10"/>
        <v>46156</v>
      </c>
      <c r="J93" s="54">
        <f>IF(F93="New AP Lead", G93/$N$5, IF(F93="Kent", G93/$N$4, ""))</f>
        <v>4</v>
      </c>
      <c r="K93" s="55" t="s">
        <v>22</v>
      </c>
    </row>
    <row r="94" spans="1:11">
      <c r="A94" s="51" t="s">
        <v>149</v>
      </c>
      <c r="B94" s="81" t="s">
        <v>84</v>
      </c>
      <c r="C94" s="51" t="s">
        <v>144</v>
      </c>
      <c r="D94" s="51" t="s">
        <v>278</v>
      </c>
      <c r="E94" s="51" t="s">
        <v>150</v>
      </c>
      <c r="F94" s="51" t="s">
        <v>86</v>
      </c>
      <c r="G94" s="52">
        <v>2</v>
      </c>
      <c r="H94" s="53">
        <f t="shared" si="11"/>
        <v>46157</v>
      </c>
      <c r="I94" s="53">
        <f t="shared" si="10"/>
        <v>46161</v>
      </c>
      <c r="J94" s="54">
        <f>IF(F94="New AP Lead", G94/$N$5, IF(F94="Kent", G94/$N$4, ""))</f>
        <v>2</v>
      </c>
      <c r="K94" s="55" t="s">
        <v>22</v>
      </c>
    </row>
    <row r="95" spans="1:11">
      <c r="A95" s="51" t="s">
        <v>151</v>
      </c>
      <c r="B95" s="81" t="s">
        <v>84</v>
      </c>
      <c r="C95" s="51" t="s">
        <v>152</v>
      </c>
      <c r="D95" s="51" t="s">
        <v>46</v>
      </c>
      <c r="E95" s="51" t="s">
        <v>153</v>
      </c>
      <c r="F95" s="51" t="s">
        <v>18</v>
      </c>
      <c r="G95" s="52">
        <v>0.5</v>
      </c>
      <c r="H95" s="53">
        <f>WORKDAY(I89,1)</f>
        <v>46161</v>
      </c>
      <c r="I95" s="53">
        <f t="shared" si="10"/>
        <v>46161</v>
      </c>
      <c r="J95" s="54">
        <f>IF(F95="New AP Lead", G95/$N$5, IF(F95="Kent", G95/$N$4, ""))</f>
        <v>0.5</v>
      </c>
      <c r="K95" s="55" t="s">
        <v>22</v>
      </c>
    </row>
    <row r="96" spans="1:11">
      <c r="A96" s="51" t="s">
        <v>151</v>
      </c>
      <c r="B96" s="81" t="s">
        <v>84</v>
      </c>
      <c r="C96" s="51" t="s">
        <v>152</v>
      </c>
      <c r="D96" s="51" t="s">
        <v>46</v>
      </c>
      <c r="E96" s="51" t="s">
        <v>154</v>
      </c>
      <c r="F96" s="51" t="s">
        <v>18</v>
      </c>
      <c r="G96" s="52">
        <v>0.5</v>
      </c>
      <c r="H96" s="53">
        <f t="shared" si="11"/>
        <v>46162</v>
      </c>
      <c r="I96" s="53">
        <f t="shared" si="10"/>
        <v>46162</v>
      </c>
      <c r="J96" s="54">
        <f>IF(F96="New AP Lead", G96/$N$5, IF(F96="Kent", G96/$N$4, ""))</f>
        <v>0.5</v>
      </c>
      <c r="K96" s="55" t="s">
        <v>22</v>
      </c>
    </row>
    <row r="97" spans="1:11">
      <c r="A97" s="51" t="s">
        <v>151</v>
      </c>
      <c r="B97" s="81" t="s">
        <v>84</v>
      </c>
      <c r="C97" s="51" t="s">
        <v>152</v>
      </c>
      <c r="D97" s="51" t="s">
        <v>50</v>
      </c>
      <c r="E97" s="51" t="s">
        <v>155</v>
      </c>
      <c r="F97" s="51" t="s">
        <v>281</v>
      </c>
      <c r="G97" s="52">
        <v>1.5</v>
      </c>
      <c r="H97" s="53">
        <f>WORKDAY(I96,1)</f>
        <v>46163</v>
      </c>
      <c r="I97" s="53">
        <f t="shared" si="10"/>
        <v>46164</v>
      </c>
      <c r="J97" s="54">
        <f>G97/$N$6</f>
        <v>1.5</v>
      </c>
      <c r="K97" s="55" t="s">
        <v>22</v>
      </c>
    </row>
    <row r="98" spans="1:11">
      <c r="A98" s="51" t="s">
        <v>156</v>
      </c>
      <c r="B98" s="81" t="s">
        <v>84</v>
      </c>
      <c r="C98" s="51" t="s">
        <v>152</v>
      </c>
      <c r="D98" s="51" t="s">
        <v>50</v>
      </c>
      <c r="E98" s="51" t="s">
        <v>157</v>
      </c>
      <c r="F98" s="51" t="s">
        <v>18</v>
      </c>
      <c r="G98" s="52">
        <v>2.5</v>
      </c>
      <c r="H98" s="53">
        <f>WORKDAY(I96,1)</f>
        <v>46163</v>
      </c>
      <c r="I98" s="53">
        <f t="shared" si="10"/>
        <v>46167</v>
      </c>
      <c r="J98" s="54">
        <f>IF(F98="New AP Lead", G98/$N$5, IF(F98="Kent", G98/$N$4, ""))</f>
        <v>2.5</v>
      </c>
      <c r="K98" s="55" t="s">
        <v>22</v>
      </c>
    </row>
    <row r="99" spans="1:11">
      <c r="A99" s="51" t="s">
        <v>156</v>
      </c>
      <c r="B99" s="81" t="s">
        <v>84</v>
      </c>
      <c r="C99" s="51" t="s">
        <v>152</v>
      </c>
      <c r="D99" s="51" t="s">
        <v>278</v>
      </c>
      <c r="E99" s="51" t="s">
        <v>158</v>
      </c>
      <c r="F99" s="51" t="s">
        <v>18</v>
      </c>
      <c r="G99" s="52">
        <v>1</v>
      </c>
      <c r="H99" s="53">
        <f t="shared" si="11"/>
        <v>46168</v>
      </c>
      <c r="I99" s="53">
        <f t="shared" si="10"/>
        <v>46169</v>
      </c>
      <c r="J99" s="54">
        <f>IF(F99="New AP Lead", G99/$N$5, IF(F99="Kent", G99/$N$4, ""))</f>
        <v>1</v>
      </c>
      <c r="K99" s="55" t="s">
        <v>22</v>
      </c>
    </row>
    <row r="100" spans="1:11">
      <c r="A100" s="51" t="s">
        <v>159</v>
      </c>
      <c r="B100" s="81" t="s">
        <v>84</v>
      </c>
      <c r="C100" s="51" t="s">
        <v>160</v>
      </c>
      <c r="D100" s="51" t="s">
        <v>46</v>
      </c>
      <c r="E100" s="51" t="s">
        <v>161</v>
      </c>
      <c r="F100" s="51" t="s">
        <v>86</v>
      </c>
      <c r="G100" s="52">
        <v>2</v>
      </c>
      <c r="H100" s="53">
        <f>WORKDAY(I94,1)</f>
        <v>46162</v>
      </c>
      <c r="I100" s="53">
        <f t="shared" si="10"/>
        <v>46164</v>
      </c>
      <c r="J100" s="54">
        <f>IF(F100="New AP Lead", G100/$N$5, IF(F100="Kent", G100/$N$4, ""))</f>
        <v>2</v>
      </c>
      <c r="K100" s="55" t="s">
        <v>22</v>
      </c>
    </row>
    <row r="101" spans="1:11">
      <c r="A101" s="51" t="s">
        <v>159</v>
      </c>
      <c r="B101" s="81" t="s">
        <v>84</v>
      </c>
      <c r="C101" s="51" t="s">
        <v>160</v>
      </c>
      <c r="D101" s="51" t="s">
        <v>46</v>
      </c>
      <c r="E101" s="51" t="s">
        <v>162</v>
      </c>
      <c r="F101" s="51" t="s">
        <v>86</v>
      </c>
      <c r="G101" s="52">
        <v>2</v>
      </c>
      <c r="H101" s="53">
        <f>WORKDAY(I100,1)</f>
        <v>46167</v>
      </c>
      <c r="I101" s="53">
        <f t="shared" si="10"/>
        <v>46169</v>
      </c>
      <c r="J101" s="54">
        <f>IF(F101="New AP Lead", G101/$N$5, IF(F101="Kent", G101/$N$4, ""))</f>
        <v>2</v>
      </c>
      <c r="K101" s="55" t="s">
        <v>22</v>
      </c>
    </row>
    <row r="102" spans="1:11">
      <c r="A102" s="51" t="s">
        <v>159</v>
      </c>
      <c r="B102" s="81" t="s">
        <v>84</v>
      </c>
      <c r="C102" s="51" t="s">
        <v>160</v>
      </c>
      <c r="D102" s="51" t="s">
        <v>50</v>
      </c>
      <c r="E102" s="51" t="s">
        <v>163</v>
      </c>
      <c r="F102" s="51" t="s">
        <v>281</v>
      </c>
      <c r="G102" s="52">
        <v>2</v>
      </c>
      <c r="H102" s="53">
        <f t="shared" ref="H102:H104" si="12">I101</f>
        <v>46169</v>
      </c>
      <c r="I102" s="53">
        <f t="shared" si="10"/>
        <v>46171</v>
      </c>
      <c r="J102" s="54">
        <f>G102/$N$6</f>
        <v>2</v>
      </c>
      <c r="K102" s="55" t="s">
        <v>22</v>
      </c>
    </row>
    <row r="103" spans="1:11">
      <c r="A103" s="51" t="s">
        <v>164</v>
      </c>
      <c r="B103" s="81" t="s">
        <v>84</v>
      </c>
      <c r="C103" s="51" t="s">
        <v>160</v>
      </c>
      <c r="D103" s="51" t="s">
        <v>50</v>
      </c>
      <c r="E103" s="51" t="s">
        <v>165</v>
      </c>
      <c r="F103" s="51" t="s">
        <v>86</v>
      </c>
      <c r="G103" s="52">
        <v>5</v>
      </c>
      <c r="H103" s="53">
        <f t="shared" si="12"/>
        <v>46171</v>
      </c>
      <c r="I103" s="53">
        <f t="shared" si="10"/>
        <v>46178</v>
      </c>
      <c r="J103" s="54">
        <f>IF(F103="New AP Lead", G103/$N$5, IF(F103="Kent", G103/$N$4, ""))</f>
        <v>5</v>
      </c>
      <c r="K103" s="55" t="s">
        <v>22</v>
      </c>
    </row>
    <row r="104" spans="1:11">
      <c r="A104" s="51" t="s">
        <v>166</v>
      </c>
      <c r="B104" s="81" t="s">
        <v>84</v>
      </c>
      <c r="C104" s="51" t="s">
        <v>160</v>
      </c>
      <c r="D104" s="51" t="s">
        <v>278</v>
      </c>
      <c r="E104" s="51" t="s">
        <v>167</v>
      </c>
      <c r="F104" s="51" t="s">
        <v>86</v>
      </c>
      <c r="G104" s="52">
        <v>2</v>
      </c>
      <c r="H104" s="53">
        <f t="shared" si="12"/>
        <v>46178</v>
      </c>
      <c r="I104" s="53">
        <f t="shared" si="10"/>
        <v>46182</v>
      </c>
      <c r="J104" s="54">
        <f>IF(F104="New AP Lead", G104/$N$5, IF(F104="Kent", G104/$N$4, ""))</f>
        <v>2</v>
      </c>
      <c r="K104" s="55" t="s">
        <v>22</v>
      </c>
    </row>
    <row r="105" spans="1:11">
      <c r="A105" s="51" t="s">
        <v>166</v>
      </c>
      <c r="B105" s="81" t="s">
        <v>84</v>
      </c>
      <c r="C105" s="51" t="s">
        <v>168</v>
      </c>
      <c r="D105" s="51" t="s">
        <v>46</v>
      </c>
      <c r="E105" s="51" t="s">
        <v>169</v>
      </c>
      <c r="F105" s="51" t="s">
        <v>18</v>
      </c>
      <c r="G105" s="52">
        <v>0.5</v>
      </c>
      <c r="H105" s="53">
        <f>WORKDAY(I99,1)</f>
        <v>46170</v>
      </c>
      <c r="I105" s="53">
        <f t="shared" si="10"/>
        <v>46170</v>
      </c>
      <c r="J105" s="54">
        <f>IF(F105="New AP Lead", G105/$N$5, IF(F105="Kent", G105/$N$4, ""))</f>
        <v>0.5</v>
      </c>
      <c r="K105" s="55" t="s">
        <v>22</v>
      </c>
    </row>
    <row r="106" spans="1:11">
      <c r="A106" s="51" t="s">
        <v>166</v>
      </c>
      <c r="B106" s="81" t="s">
        <v>84</v>
      </c>
      <c r="C106" s="51" t="s">
        <v>168</v>
      </c>
      <c r="D106" s="51" t="s">
        <v>46</v>
      </c>
      <c r="E106" s="51" t="s">
        <v>170</v>
      </c>
      <c r="F106" s="51" t="s">
        <v>18</v>
      </c>
      <c r="G106" s="52">
        <v>0.5</v>
      </c>
      <c r="H106" s="53">
        <f>WORKDAY(I105,1)</f>
        <v>46171</v>
      </c>
      <c r="I106" s="53">
        <f t="shared" si="10"/>
        <v>46171</v>
      </c>
      <c r="J106" s="54">
        <f>IF(F106="New AP Lead", G106/$N$5, IF(F106="Kent", G106/$N$4, ""))</f>
        <v>0.5</v>
      </c>
      <c r="K106" s="55" t="s">
        <v>22</v>
      </c>
    </row>
    <row r="107" spans="1:11">
      <c r="A107" s="51" t="s">
        <v>166</v>
      </c>
      <c r="B107" s="81" t="s">
        <v>84</v>
      </c>
      <c r="C107" s="51" t="s">
        <v>168</v>
      </c>
      <c r="D107" s="51" t="s">
        <v>50</v>
      </c>
      <c r="E107" s="51" t="s">
        <v>171</v>
      </c>
      <c r="F107" s="51" t="s">
        <v>281</v>
      </c>
      <c r="G107" s="52">
        <v>2</v>
      </c>
      <c r="H107" s="53">
        <f>WORKDAY(I106,1)</f>
        <v>46174</v>
      </c>
      <c r="I107" s="53">
        <f t="shared" si="10"/>
        <v>46176</v>
      </c>
      <c r="J107" s="54">
        <f>G107/$N$6</f>
        <v>2</v>
      </c>
      <c r="K107" s="55" t="s">
        <v>22</v>
      </c>
    </row>
    <row r="108" spans="1:11">
      <c r="A108" s="51" t="s">
        <v>172</v>
      </c>
      <c r="B108" s="81" t="s">
        <v>84</v>
      </c>
      <c r="C108" s="51" t="s">
        <v>168</v>
      </c>
      <c r="D108" s="51" t="s">
        <v>50</v>
      </c>
      <c r="E108" s="51" t="s">
        <v>173</v>
      </c>
      <c r="F108" s="51" t="s">
        <v>18</v>
      </c>
      <c r="G108" s="52">
        <v>3</v>
      </c>
      <c r="H108" s="53">
        <f>I107</f>
        <v>46176</v>
      </c>
      <c r="I108" s="53">
        <f t="shared" si="10"/>
        <v>46181</v>
      </c>
      <c r="J108" s="54">
        <f>IF(F108="New AP Lead", G108/$N$5, IF(F108="Kent", G108/$N$4, ""))</f>
        <v>3</v>
      </c>
      <c r="K108" s="55" t="s">
        <v>22</v>
      </c>
    </row>
    <row r="109" spans="1:11">
      <c r="A109" s="51" t="s">
        <v>172</v>
      </c>
      <c r="B109" s="81" t="s">
        <v>84</v>
      </c>
      <c r="C109" s="51" t="s">
        <v>168</v>
      </c>
      <c r="D109" s="51" t="s">
        <v>278</v>
      </c>
      <c r="E109" s="51" t="s">
        <v>174</v>
      </c>
      <c r="F109" s="51" t="s">
        <v>18</v>
      </c>
      <c r="G109" s="52">
        <v>1</v>
      </c>
      <c r="H109" s="53">
        <f>WORKDAY(I108,1)</f>
        <v>46182</v>
      </c>
      <c r="I109" s="53">
        <f t="shared" si="10"/>
        <v>46183</v>
      </c>
      <c r="J109" s="54">
        <f>IF(F109="New AP Lead", G109/$N$5, IF(F109="Kent", G109/$N$4, ""))</f>
        <v>1</v>
      </c>
      <c r="K109" s="55" t="s">
        <v>22</v>
      </c>
    </row>
    <row r="110" spans="1:11">
      <c r="A110" s="51" t="s">
        <v>149</v>
      </c>
      <c r="B110" s="81" t="s">
        <v>84</v>
      </c>
      <c r="C110" s="51" t="s">
        <v>175</v>
      </c>
      <c r="D110" s="51" t="s">
        <v>46</v>
      </c>
      <c r="E110" s="51" t="s">
        <v>176</v>
      </c>
      <c r="F110" s="51" t="s">
        <v>86</v>
      </c>
      <c r="G110" s="52">
        <v>2</v>
      </c>
      <c r="H110" s="53">
        <f>WORKDAY(I104,1)</f>
        <v>46183</v>
      </c>
      <c r="I110" s="53">
        <f>WORKDAY(H110,J110)</f>
        <v>46185</v>
      </c>
      <c r="J110" s="54">
        <f>IF(F110="New AP Lead", G110/$N$5, IF(F110="Kent", G110/$N$4, ""))</f>
        <v>2</v>
      </c>
      <c r="K110" s="55" t="s">
        <v>22</v>
      </c>
    </row>
    <row r="111" spans="1:11">
      <c r="A111" s="51" t="s">
        <v>149</v>
      </c>
      <c r="B111" s="81" t="s">
        <v>84</v>
      </c>
      <c r="C111" s="51" t="s">
        <v>175</v>
      </c>
      <c r="D111" s="51" t="s">
        <v>46</v>
      </c>
      <c r="E111" s="51" t="s">
        <v>177</v>
      </c>
      <c r="F111" s="51" t="s">
        <v>86</v>
      </c>
      <c r="G111" s="52">
        <v>2</v>
      </c>
      <c r="H111" s="53">
        <f t="shared" ref="H111:H122" si="13">WORKDAY(I110,1)</f>
        <v>46188</v>
      </c>
      <c r="I111" s="53">
        <f t="shared" ref="I111:I174" si="14">WORKDAY(H111,J111)</f>
        <v>46190</v>
      </c>
      <c r="J111" s="54">
        <f>IF(F111="New AP Lead", G111/$N$5, IF(F111="Kent", G111/$N$4, ""))</f>
        <v>2</v>
      </c>
      <c r="K111" s="55" t="s">
        <v>22</v>
      </c>
    </row>
    <row r="112" spans="1:11">
      <c r="A112" s="51" t="s">
        <v>149</v>
      </c>
      <c r="B112" s="81" t="s">
        <v>84</v>
      </c>
      <c r="C112" s="51" t="s">
        <v>175</v>
      </c>
      <c r="D112" s="51" t="s">
        <v>50</v>
      </c>
      <c r="E112" s="51" t="s">
        <v>178</v>
      </c>
      <c r="F112" s="51" t="s">
        <v>281</v>
      </c>
      <c r="G112" s="52">
        <v>3</v>
      </c>
      <c r="H112" s="53">
        <f t="shared" si="13"/>
        <v>46191</v>
      </c>
      <c r="I112" s="53">
        <f t="shared" si="14"/>
        <v>46196</v>
      </c>
      <c r="J112" s="54">
        <f>G112/$N$6</f>
        <v>3</v>
      </c>
      <c r="K112" s="55" t="s">
        <v>22</v>
      </c>
    </row>
    <row r="113" spans="1:11">
      <c r="A113" s="51" t="s">
        <v>151</v>
      </c>
      <c r="B113" s="81" t="s">
        <v>84</v>
      </c>
      <c r="C113" s="51" t="s">
        <v>175</v>
      </c>
      <c r="D113" s="51" t="s">
        <v>50</v>
      </c>
      <c r="E113" s="51" t="s">
        <v>179</v>
      </c>
      <c r="F113" s="51" t="s">
        <v>86</v>
      </c>
      <c r="G113" s="52">
        <v>5</v>
      </c>
      <c r="H113" s="53">
        <f>I112</f>
        <v>46196</v>
      </c>
      <c r="I113" s="53">
        <f t="shared" si="14"/>
        <v>46203</v>
      </c>
      <c r="J113" s="54">
        <f>IF(F113="New AP Lead", G113/$N$5, IF(F113="Kent", G113/$N$4, ""))</f>
        <v>5</v>
      </c>
      <c r="K113" s="55" t="s">
        <v>22</v>
      </c>
    </row>
    <row r="114" spans="1:11">
      <c r="A114" s="51" t="s">
        <v>151</v>
      </c>
      <c r="B114" s="81" t="s">
        <v>84</v>
      </c>
      <c r="C114" s="51" t="s">
        <v>175</v>
      </c>
      <c r="D114" s="51" t="s">
        <v>278</v>
      </c>
      <c r="E114" s="51" t="s">
        <v>180</v>
      </c>
      <c r="F114" s="51" t="s">
        <v>86</v>
      </c>
      <c r="G114" s="52">
        <v>1</v>
      </c>
      <c r="H114" s="53">
        <f t="shared" si="13"/>
        <v>46204</v>
      </c>
      <c r="I114" s="53">
        <f t="shared" si="14"/>
        <v>46205</v>
      </c>
      <c r="J114" s="54">
        <f>IF(F114="New AP Lead", G114/$N$5, IF(F114="Kent", G114/$N$4, ""))</f>
        <v>1</v>
      </c>
      <c r="K114" s="55" t="s">
        <v>22</v>
      </c>
    </row>
    <row r="115" spans="1:11">
      <c r="A115" s="51" t="s">
        <v>156</v>
      </c>
      <c r="B115" s="81" t="s">
        <v>84</v>
      </c>
      <c r="C115" s="51" t="s">
        <v>181</v>
      </c>
      <c r="D115" s="51" t="s">
        <v>46</v>
      </c>
      <c r="E115" s="51" t="s">
        <v>182</v>
      </c>
      <c r="F115" s="51" t="s">
        <v>18</v>
      </c>
      <c r="G115" s="52">
        <v>1</v>
      </c>
      <c r="H115" s="53">
        <f>WORKDAY(I109,1)</f>
        <v>46184</v>
      </c>
      <c r="I115" s="53">
        <f t="shared" si="14"/>
        <v>46185</v>
      </c>
      <c r="J115" s="54">
        <f>IF(F115="New AP Lead", G115/$N$5, IF(F115="Kent", G115/$N$4, ""))</f>
        <v>1</v>
      </c>
      <c r="K115" s="55" t="s">
        <v>22</v>
      </c>
    </row>
    <row r="116" spans="1:11">
      <c r="A116" s="51" t="s">
        <v>156</v>
      </c>
      <c r="B116" s="81" t="s">
        <v>84</v>
      </c>
      <c r="C116" s="51" t="s">
        <v>181</v>
      </c>
      <c r="D116" s="51" t="s">
        <v>46</v>
      </c>
      <c r="E116" s="51" t="s">
        <v>183</v>
      </c>
      <c r="F116" s="51" t="s">
        <v>18</v>
      </c>
      <c r="G116" s="52">
        <v>2</v>
      </c>
      <c r="H116" s="53">
        <f t="shared" si="13"/>
        <v>46188</v>
      </c>
      <c r="I116" s="53">
        <f t="shared" si="14"/>
        <v>46190</v>
      </c>
      <c r="J116" s="54">
        <f>IF(F116="New AP Lead", G116/$N$5, IF(F116="Kent", G116/$N$4, ""))</f>
        <v>2</v>
      </c>
      <c r="K116" s="55" t="s">
        <v>22</v>
      </c>
    </row>
    <row r="117" spans="1:11">
      <c r="A117" s="51" t="s">
        <v>156</v>
      </c>
      <c r="B117" s="81" t="s">
        <v>84</v>
      </c>
      <c r="C117" s="51" t="s">
        <v>181</v>
      </c>
      <c r="D117" s="51" t="s">
        <v>50</v>
      </c>
      <c r="E117" s="51" t="s">
        <v>184</v>
      </c>
      <c r="F117" s="51" t="s">
        <v>281</v>
      </c>
      <c r="G117" s="52">
        <v>1.5</v>
      </c>
      <c r="H117" s="53">
        <f t="shared" si="13"/>
        <v>46191</v>
      </c>
      <c r="I117" s="53">
        <f t="shared" si="14"/>
        <v>46192</v>
      </c>
      <c r="J117" s="54">
        <f>G117/$N$6</f>
        <v>1.5</v>
      </c>
      <c r="K117" s="55" t="s">
        <v>22</v>
      </c>
    </row>
    <row r="118" spans="1:11">
      <c r="A118" s="51" t="s">
        <v>156</v>
      </c>
      <c r="B118" s="81" t="s">
        <v>84</v>
      </c>
      <c r="C118" s="51" t="s">
        <v>181</v>
      </c>
      <c r="D118" s="51" t="s">
        <v>50</v>
      </c>
      <c r="E118" s="51" t="s">
        <v>185</v>
      </c>
      <c r="F118" s="51" t="s">
        <v>18</v>
      </c>
      <c r="G118" s="52">
        <v>2.5</v>
      </c>
      <c r="H118" s="53">
        <f>I117</f>
        <v>46192</v>
      </c>
      <c r="I118" s="53">
        <f t="shared" si="14"/>
        <v>46196</v>
      </c>
      <c r="J118" s="54">
        <f>IF(F118="New AP Lead", G118/$N$5, IF(F118="Kent", G118/$N$4, ""))</f>
        <v>2.5</v>
      </c>
      <c r="K118" s="55" t="s">
        <v>22</v>
      </c>
    </row>
    <row r="119" spans="1:11">
      <c r="A119" s="51" t="s">
        <v>159</v>
      </c>
      <c r="B119" s="81" t="s">
        <v>84</v>
      </c>
      <c r="C119" s="51" t="s">
        <v>181</v>
      </c>
      <c r="D119" s="51" t="s">
        <v>278</v>
      </c>
      <c r="E119" s="51" t="s">
        <v>186</v>
      </c>
      <c r="F119" s="51" t="s">
        <v>18</v>
      </c>
      <c r="G119" s="52">
        <v>1</v>
      </c>
      <c r="H119" s="53">
        <f t="shared" si="13"/>
        <v>46197</v>
      </c>
      <c r="I119" s="53">
        <f t="shared" si="14"/>
        <v>46198</v>
      </c>
      <c r="J119" s="54">
        <f>IF(F119="New AP Lead", G119/$N$5, IF(F119="Kent", G119/$N$4, ""))</f>
        <v>1</v>
      </c>
      <c r="K119" s="55" t="s">
        <v>22</v>
      </c>
    </row>
    <row r="120" spans="1:11">
      <c r="A120" s="51" t="s">
        <v>159</v>
      </c>
      <c r="B120" s="81" t="s">
        <v>84</v>
      </c>
      <c r="C120" s="51" t="s">
        <v>187</v>
      </c>
      <c r="D120" s="51" t="s">
        <v>46</v>
      </c>
      <c r="E120" s="51" t="s">
        <v>188</v>
      </c>
      <c r="F120" s="51" t="s">
        <v>86</v>
      </c>
      <c r="G120" s="52">
        <v>1</v>
      </c>
      <c r="H120" s="53">
        <f>WORKDAY(I114,1)</f>
        <v>46206</v>
      </c>
      <c r="I120" s="53">
        <f t="shared" si="14"/>
        <v>46209</v>
      </c>
      <c r="J120" s="54">
        <f>IF(F120="New AP Lead", G120/$N$5, IF(F120="Kent", G120/$N$4, ""))</f>
        <v>1</v>
      </c>
      <c r="K120" s="55" t="s">
        <v>22</v>
      </c>
    </row>
    <row r="121" spans="1:11">
      <c r="A121" s="51" t="s">
        <v>159</v>
      </c>
      <c r="B121" s="81" t="s">
        <v>84</v>
      </c>
      <c r="C121" s="51" t="s">
        <v>187</v>
      </c>
      <c r="D121" s="51" t="s">
        <v>46</v>
      </c>
      <c r="E121" s="51" t="s">
        <v>189</v>
      </c>
      <c r="F121" s="51" t="s">
        <v>86</v>
      </c>
      <c r="G121" s="52">
        <v>1</v>
      </c>
      <c r="H121" s="53">
        <f t="shared" si="13"/>
        <v>46210</v>
      </c>
      <c r="I121" s="53">
        <f t="shared" si="14"/>
        <v>46211</v>
      </c>
      <c r="J121" s="54">
        <f>IF(F121="New AP Lead", G121/$N$5, IF(F121="Kent", G121/$N$4, ""))</f>
        <v>1</v>
      </c>
      <c r="K121" s="55" t="s">
        <v>22</v>
      </c>
    </row>
    <row r="122" spans="1:11">
      <c r="A122" s="51" t="s">
        <v>159</v>
      </c>
      <c r="B122" s="81" t="s">
        <v>84</v>
      </c>
      <c r="C122" s="51" t="s">
        <v>187</v>
      </c>
      <c r="D122" s="51" t="s">
        <v>50</v>
      </c>
      <c r="E122" s="51" t="s">
        <v>190</v>
      </c>
      <c r="F122" s="51" t="s">
        <v>281</v>
      </c>
      <c r="G122" s="52">
        <v>1.5</v>
      </c>
      <c r="H122" s="53">
        <f t="shared" si="13"/>
        <v>46212</v>
      </c>
      <c r="I122" s="53">
        <f t="shared" si="14"/>
        <v>46213</v>
      </c>
      <c r="J122" s="54">
        <f>G122/$N$6</f>
        <v>1.5</v>
      </c>
      <c r="K122" s="55" t="s">
        <v>22</v>
      </c>
    </row>
    <row r="123" spans="1:11">
      <c r="A123" s="51" t="s">
        <v>159</v>
      </c>
      <c r="B123" s="81" t="s">
        <v>84</v>
      </c>
      <c r="C123" s="51" t="s">
        <v>187</v>
      </c>
      <c r="D123" s="51" t="s">
        <v>50</v>
      </c>
      <c r="E123" s="51" t="s">
        <v>191</v>
      </c>
      <c r="F123" s="51" t="s">
        <v>86</v>
      </c>
      <c r="G123" s="52">
        <v>1.5</v>
      </c>
      <c r="H123" s="53">
        <f>I122</f>
        <v>46213</v>
      </c>
      <c r="I123" s="53">
        <f t="shared" si="14"/>
        <v>46216</v>
      </c>
      <c r="J123" s="54">
        <f>IF(F123="New AP Lead", G123/$N$5, IF(F123="Kent", G123/$N$4, ""))</f>
        <v>1.5</v>
      </c>
      <c r="K123" s="55" t="s">
        <v>22</v>
      </c>
    </row>
    <row r="124" spans="1:11">
      <c r="A124" s="51" t="s">
        <v>164</v>
      </c>
      <c r="B124" s="81" t="s">
        <v>84</v>
      </c>
      <c r="C124" s="51" t="s">
        <v>187</v>
      </c>
      <c r="D124" s="51" t="s">
        <v>278</v>
      </c>
      <c r="E124" s="51" t="s">
        <v>192</v>
      </c>
      <c r="F124" s="51" t="s">
        <v>86</v>
      </c>
      <c r="G124" s="52">
        <v>1</v>
      </c>
      <c r="H124" s="53">
        <f>WORKDAY(I123,1)</f>
        <v>46217</v>
      </c>
      <c r="I124" s="53">
        <f t="shared" si="14"/>
        <v>46218</v>
      </c>
      <c r="J124" s="54">
        <f>IF(F124="New AP Lead", G124/$N$5, IF(F124="Kent", G124/$N$4, ""))</f>
        <v>1</v>
      </c>
      <c r="K124" s="55" t="s">
        <v>22</v>
      </c>
    </row>
    <row r="125" spans="1:11">
      <c r="A125" s="51" t="s">
        <v>164</v>
      </c>
      <c r="B125" s="81" t="s">
        <v>84</v>
      </c>
      <c r="C125" s="51" t="s">
        <v>193</v>
      </c>
      <c r="D125" s="51" t="s">
        <v>46</v>
      </c>
      <c r="E125" s="51" t="s">
        <v>194</v>
      </c>
      <c r="F125" s="51" t="s">
        <v>18</v>
      </c>
      <c r="G125" s="52">
        <v>1</v>
      </c>
      <c r="H125" s="53">
        <f>WORKDAY(I119,1)</f>
        <v>46199</v>
      </c>
      <c r="I125" s="53">
        <f t="shared" si="14"/>
        <v>46202</v>
      </c>
      <c r="J125" s="54">
        <f>IF(F125="New AP Lead", G125/$N$5, IF(F125="Kent", G125/$N$4, ""))</f>
        <v>1</v>
      </c>
      <c r="K125" s="55" t="s">
        <v>22</v>
      </c>
    </row>
    <row r="126" spans="1:11">
      <c r="A126" s="51" t="s">
        <v>164</v>
      </c>
      <c r="B126" s="81" t="s">
        <v>84</v>
      </c>
      <c r="C126" s="51" t="s">
        <v>193</v>
      </c>
      <c r="D126" s="51" t="s">
        <v>46</v>
      </c>
      <c r="E126" s="51" t="s">
        <v>195</v>
      </c>
      <c r="F126" s="51" t="s">
        <v>18</v>
      </c>
      <c r="G126" s="52">
        <v>2</v>
      </c>
      <c r="H126" s="53">
        <f t="shared" ref="H126:H144" si="15">WORKDAY(I125,1)</f>
        <v>46203</v>
      </c>
      <c r="I126" s="53">
        <f t="shared" si="14"/>
        <v>46205</v>
      </c>
      <c r="J126" s="54">
        <f>IF(F126="New AP Lead", G126/$N$5, IF(F126="Kent", G126/$N$4, ""))</f>
        <v>2</v>
      </c>
      <c r="K126" s="55" t="s">
        <v>22</v>
      </c>
    </row>
    <row r="127" spans="1:11">
      <c r="A127" s="51" t="s">
        <v>164</v>
      </c>
      <c r="B127" s="81" t="s">
        <v>84</v>
      </c>
      <c r="C127" s="51" t="s">
        <v>193</v>
      </c>
      <c r="D127" s="51" t="s">
        <v>50</v>
      </c>
      <c r="E127" s="51" t="s">
        <v>196</v>
      </c>
      <c r="F127" s="51" t="s">
        <v>281</v>
      </c>
      <c r="G127" s="52">
        <v>1</v>
      </c>
      <c r="H127" s="53">
        <f t="shared" si="15"/>
        <v>46206</v>
      </c>
      <c r="I127" s="53">
        <f t="shared" si="14"/>
        <v>46209</v>
      </c>
      <c r="J127" s="54">
        <f>G127/$N$6</f>
        <v>1</v>
      </c>
      <c r="K127" s="55" t="s">
        <v>22</v>
      </c>
    </row>
    <row r="128" spans="1:11">
      <c r="A128" s="51" t="s">
        <v>164</v>
      </c>
      <c r="B128" s="81" t="s">
        <v>84</v>
      </c>
      <c r="C128" s="51" t="s">
        <v>193</v>
      </c>
      <c r="D128" s="51" t="s">
        <v>50</v>
      </c>
      <c r="E128" s="51" t="s">
        <v>197</v>
      </c>
      <c r="F128" s="51" t="s">
        <v>18</v>
      </c>
      <c r="G128" s="52">
        <v>2</v>
      </c>
      <c r="H128" s="53">
        <f>WORKDAY(I126,1)</f>
        <v>46206</v>
      </c>
      <c r="I128" s="53">
        <f t="shared" si="14"/>
        <v>46210</v>
      </c>
      <c r="J128" s="54">
        <f>IF(F128="New AP Lead", G128/$N$5, IF(F128="Kent", G128/$N$4, ""))</f>
        <v>2</v>
      </c>
      <c r="K128" s="55" t="s">
        <v>22</v>
      </c>
    </row>
    <row r="129" spans="1:11">
      <c r="A129" s="51" t="s">
        <v>166</v>
      </c>
      <c r="B129" s="81" t="s">
        <v>84</v>
      </c>
      <c r="C129" s="51" t="s">
        <v>193</v>
      </c>
      <c r="D129" s="51" t="s">
        <v>278</v>
      </c>
      <c r="E129" s="51" t="s">
        <v>198</v>
      </c>
      <c r="F129" s="51" t="s">
        <v>18</v>
      </c>
      <c r="G129" s="52">
        <v>1</v>
      </c>
      <c r="H129" s="53">
        <f t="shared" si="15"/>
        <v>46211</v>
      </c>
      <c r="I129" s="53">
        <f t="shared" si="14"/>
        <v>46212</v>
      </c>
      <c r="J129" s="54">
        <f>IF(F129="New AP Lead", G129/$N$5, IF(F129="Kent", G129/$N$4, ""))</f>
        <v>1</v>
      </c>
      <c r="K129" s="55" t="s">
        <v>22</v>
      </c>
    </row>
    <row r="130" spans="1:11">
      <c r="A130" s="51" t="s">
        <v>166</v>
      </c>
      <c r="B130" s="81" t="s">
        <v>84</v>
      </c>
      <c r="C130" s="77" t="s">
        <v>199</v>
      </c>
      <c r="D130" s="51" t="s">
        <v>46</v>
      </c>
      <c r="E130" s="51" t="s">
        <v>200</v>
      </c>
      <c r="F130" s="51" t="s">
        <v>86</v>
      </c>
      <c r="G130" s="52">
        <v>1.5</v>
      </c>
      <c r="H130" s="53">
        <f>WORKDAY(I124,1)</f>
        <v>46219</v>
      </c>
      <c r="I130" s="53">
        <f t="shared" si="14"/>
        <v>46220</v>
      </c>
      <c r="J130" s="54">
        <f>IF(F130="New AP Lead", G130/$N$5, IF(F130="Kent", G130/$N$4, ""))</f>
        <v>1.5</v>
      </c>
      <c r="K130" s="55" t="s">
        <v>22</v>
      </c>
    </row>
    <row r="131" spans="1:11">
      <c r="A131" s="51" t="s">
        <v>166</v>
      </c>
      <c r="B131" s="81" t="s">
        <v>84</v>
      </c>
      <c r="C131" s="77" t="s">
        <v>199</v>
      </c>
      <c r="D131" s="51" t="s">
        <v>46</v>
      </c>
      <c r="E131" s="51" t="s">
        <v>201</v>
      </c>
      <c r="F131" s="51" t="s">
        <v>86</v>
      </c>
      <c r="G131" s="52">
        <v>1.5</v>
      </c>
      <c r="H131" s="53">
        <f t="shared" si="15"/>
        <v>46223</v>
      </c>
      <c r="I131" s="53">
        <f t="shared" si="14"/>
        <v>46224</v>
      </c>
      <c r="J131" s="54">
        <f>IF(F131="New AP Lead", G131/$N$5, IF(F131="Kent", G131/$N$4, ""))</f>
        <v>1.5</v>
      </c>
      <c r="K131" s="55" t="s">
        <v>22</v>
      </c>
    </row>
    <row r="132" spans="1:11">
      <c r="A132" s="51" t="s">
        <v>166</v>
      </c>
      <c r="B132" s="81" t="s">
        <v>84</v>
      </c>
      <c r="C132" s="77" t="s">
        <v>199</v>
      </c>
      <c r="D132" s="51" t="s">
        <v>50</v>
      </c>
      <c r="E132" s="51" t="s">
        <v>202</v>
      </c>
      <c r="F132" s="51" t="s">
        <v>281</v>
      </c>
      <c r="G132" s="52">
        <v>2</v>
      </c>
      <c r="H132" s="53">
        <f t="shared" si="15"/>
        <v>46225</v>
      </c>
      <c r="I132" s="53">
        <f t="shared" si="14"/>
        <v>46227</v>
      </c>
      <c r="J132" s="54">
        <f>G132/$N$6</f>
        <v>2</v>
      </c>
      <c r="K132" s="55" t="s">
        <v>22</v>
      </c>
    </row>
    <row r="133" spans="1:11">
      <c r="A133" s="51" t="s">
        <v>172</v>
      </c>
      <c r="B133" s="81" t="s">
        <v>84</v>
      </c>
      <c r="C133" s="77" t="s">
        <v>199</v>
      </c>
      <c r="D133" s="51" t="s">
        <v>50</v>
      </c>
      <c r="E133" s="51" t="s">
        <v>203</v>
      </c>
      <c r="F133" s="51" t="s">
        <v>86</v>
      </c>
      <c r="G133" s="52">
        <v>2</v>
      </c>
      <c r="H133" s="53">
        <f>WORKDAY(I131,1)</f>
        <v>46225</v>
      </c>
      <c r="I133" s="53">
        <f t="shared" si="14"/>
        <v>46227</v>
      </c>
      <c r="J133" s="54">
        <f>IF(F133="New AP Lead", G133/$N$5, IF(F133="Kent", G133/$N$4, ""))</f>
        <v>2</v>
      </c>
      <c r="K133" s="55" t="s">
        <v>22</v>
      </c>
    </row>
    <row r="134" spans="1:11">
      <c r="A134" s="51" t="s">
        <v>172</v>
      </c>
      <c r="B134" s="81" t="s">
        <v>84</v>
      </c>
      <c r="C134" s="77" t="s">
        <v>199</v>
      </c>
      <c r="D134" s="51" t="s">
        <v>278</v>
      </c>
      <c r="E134" s="51" t="s">
        <v>204</v>
      </c>
      <c r="F134" s="51" t="s">
        <v>86</v>
      </c>
      <c r="G134" s="52">
        <v>1</v>
      </c>
      <c r="H134" s="53">
        <f t="shared" si="15"/>
        <v>46230</v>
      </c>
      <c r="I134" s="53">
        <f t="shared" si="14"/>
        <v>46231</v>
      </c>
      <c r="J134" s="54">
        <f>IF(F134="New AP Lead", G134/$N$5, IF(F134="Kent", G134/$N$4, ""))</f>
        <v>1</v>
      </c>
      <c r="K134" s="55" t="s">
        <v>22</v>
      </c>
    </row>
    <row r="135" spans="1:11">
      <c r="A135" s="51" t="s">
        <v>172</v>
      </c>
      <c r="B135" s="81" t="s">
        <v>84</v>
      </c>
      <c r="C135" s="77" t="s">
        <v>205</v>
      </c>
      <c r="D135" s="51" t="s">
        <v>46</v>
      </c>
      <c r="E135" s="51" t="s">
        <v>206</v>
      </c>
      <c r="F135" s="51" t="s">
        <v>18</v>
      </c>
      <c r="G135" s="52">
        <v>1</v>
      </c>
      <c r="H135" s="53">
        <f>WORKDAY(I129,1)</f>
        <v>46213</v>
      </c>
      <c r="I135" s="53">
        <f t="shared" si="14"/>
        <v>46216</v>
      </c>
      <c r="J135" s="54">
        <f>IF(F135="New AP Lead", G135/$N$5, IF(F135="Kent", G135/$N$4, ""))</f>
        <v>1</v>
      </c>
      <c r="K135" s="55" t="s">
        <v>22</v>
      </c>
    </row>
    <row r="136" spans="1:11">
      <c r="A136" s="51" t="s">
        <v>172</v>
      </c>
      <c r="B136" s="81" t="s">
        <v>84</v>
      </c>
      <c r="C136" s="77" t="s">
        <v>205</v>
      </c>
      <c r="D136" s="51" t="s">
        <v>46</v>
      </c>
      <c r="E136" s="51" t="s">
        <v>207</v>
      </c>
      <c r="F136" s="51" t="s">
        <v>18</v>
      </c>
      <c r="G136" s="52">
        <v>1</v>
      </c>
      <c r="H136" s="53">
        <f t="shared" si="15"/>
        <v>46217</v>
      </c>
      <c r="I136" s="53">
        <f t="shared" si="14"/>
        <v>46218</v>
      </c>
      <c r="J136" s="54">
        <f>IF(F136="New AP Lead", G136/$N$5, IF(F136="Kent", G136/$N$4, ""))</f>
        <v>1</v>
      </c>
      <c r="K136" s="55" t="s">
        <v>22</v>
      </c>
    </row>
    <row r="137" spans="1:11">
      <c r="A137" s="51" t="s">
        <v>208</v>
      </c>
      <c r="B137" s="81" t="s">
        <v>84</v>
      </c>
      <c r="C137" s="77" t="s">
        <v>205</v>
      </c>
      <c r="D137" s="51" t="s">
        <v>50</v>
      </c>
      <c r="E137" s="51" t="s">
        <v>209</v>
      </c>
      <c r="F137" s="51" t="s">
        <v>281</v>
      </c>
      <c r="G137" s="52">
        <v>1</v>
      </c>
      <c r="H137" s="53">
        <f t="shared" si="15"/>
        <v>46219</v>
      </c>
      <c r="I137" s="53">
        <f t="shared" si="14"/>
        <v>46220</v>
      </c>
      <c r="J137" s="54">
        <f>G137/$N$6</f>
        <v>1</v>
      </c>
      <c r="K137" s="55" t="s">
        <v>22</v>
      </c>
    </row>
    <row r="138" spans="1:11">
      <c r="A138" s="51" t="s">
        <v>208</v>
      </c>
      <c r="B138" s="81" t="s">
        <v>84</v>
      </c>
      <c r="C138" s="77" t="s">
        <v>205</v>
      </c>
      <c r="D138" s="51" t="s">
        <v>50</v>
      </c>
      <c r="E138" s="51" t="s">
        <v>210</v>
      </c>
      <c r="F138" s="51" t="s">
        <v>18</v>
      </c>
      <c r="G138" s="52">
        <v>2</v>
      </c>
      <c r="H138" s="53">
        <f>WORKDAY(I136,1)</f>
        <v>46219</v>
      </c>
      <c r="I138" s="53">
        <f t="shared" si="14"/>
        <v>46223</v>
      </c>
      <c r="J138" s="54">
        <f>IF(F138="New AP Lead", G138/$N$5, IF(F138="Kent", G138/$N$4, ""))</f>
        <v>2</v>
      </c>
      <c r="K138" s="55" t="s">
        <v>22</v>
      </c>
    </row>
    <row r="139" spans="1:11">
      <c r="A139" s="51" t="s">
        <v>208</v>
      </c>
      <c r="B139" s="81" t="s">
        <v>84</v>
      </c>
      <c r="C139" s="77" t="s">
        <v>205</v>
      </c>
      <c r="D139" s="51" t="s">
        <v>278</v>
      </c>
      <c r="E139" s="51" t="s">
        <v>211</v>
      </c>
      <c r="F139" s="51" t="s">
        <v>18</v>
      </c>
      <c r="G139" s="52">
        <v>1</v>
      </c>
      <c r="H139" s="53">
        <f t="shared" si="15"/>
        <v>46224</v>
      </c>
      <c r="I139" s="53">
        <f t="shared" si="14"/>
        <v>46225</v>
      </c>
      <c r="J139" s="54">
        <f>IF(F139="New AP Lead", G139/$N$5, IF(F139="Kent", G139/$N$4, ""))</f>
        <v>1</v>
      </c>
      <c r="K139" s="55" t="s">
        <v>22</v>
      </c>
    </row>
    <row r="140" spans="1:11">
      <c r="A140" s="51" t="s">
        <v>208</v>
      </c>
      <c r="B140" s="81" t="s">
        <v>84</v>
      </c>
      <c r="C140" s="77" t="s">
        <v>212</v>
      </c>
      <c r="D140" s="51" t="s">
        <v>46</v>
      </c>
      <c r="E140" s="51" t="s">
        <v>213</v>
      </c>
      <c r="F140" s="51" t="s">
        <v>86</v>
      </c>
      <c r="G140" s="52">
        <v>1</v>
      </c>
      <c r="H140" s="53">
        <f>WORKDAY(I134,1)</f>
        <v>46232</v>
      </c>
      <c r="I140" s="53">
        <f t="shared" si="14"/>
        <v>46233</v>
      </c>
      <c r="J140" s="54">
        <f>IF(F140="New AP Lead", G140/$N$5, IF(F140="Kent", G140/$N$4, ""))</f>
        <v>1</v>
      </c>
      <c r="K140" s="55" t="s">
        <v>22</v>
      </c>
    </row>
    <row r="141" spans="1:11">
      <c r="A141" s="51" t="s">
        <v>208</v>
      </c>
      <c r="B141" s="81" t="s">
        <v>84</v>
      </c>
      <c r="C141" s="77" t="s">
        <v>212</v>
      </c>
      <c r="D141" s="51" t="s">
        <v>46</v>
      </c>
      <c r="E141" s="51" t="s">
        <v>214</v>
      </c>
      <c r="F141" s="51" t="s">
        <v>86</v>
      </c>
      <c r="G141" s="52">
        <v>1</v>
      </c>
      <c r="H141" s="53">
        <f t="shared" si="15"/>
        <v>46234</v>
      </c>
      <c r="I141" s="53">
        <f t="shared" si="14"/>
        <v>46237</v>
      </c>
      <c r="J141" s="54">
        <f>IF(F141="New AP Lead", G141/$N$5, IF(F141="Kent", G141/$N$4, ""))</f>
        <v>1</v>
      </c>
      <c r="K141" s="55" t="s">
        <v>22</v>
      </c>
    </row>
    <row r="142" spans="1:11">
      <c r="A142" s="51" t="s">
        <v>215</v>
      </c>
      <c r="B142" s="81" t="s">
        <v>84</v>
      </c>
      <c r="C142" s="77" t="s">
        <v>212</v>
      </c>
      <c r="D142" s="51" t="s">
        <v>50</v>
      </c>
      <c r="E142" s="51" t="s">
        <v>216</v>
      </c>
      <c r="F142" s="51" t="s">
        <v>281</v>
      </c>
      <c r="G142" s="52">
        <v>1</v>
      </c>
      <c r="H142" s="53">
        <f t="shared" si="15"/>
        <v>46238</v>
      </c>
      <c r="I142" s="53">
        <f t="shared" si="14"/>
        <v>46239</v>
      </c>
      <c r="J142" s="54">
        <f>G142/$N$6</f>
        <v>1</v>
      </c>
      <c r="K142" s="55" t="s">
        <v>22</v>
      </c>
    </row>
    <row r="143" spans="1:11">
      <c r="A143" s="51" t="s">
        <v>215</v>
      </c>
      <c r="B143" s="81" t="s">
        <v>84</v>
      </c>
      <c r="C143" s="77" t="s">
        <v>212</v>
      </c>
      <c r="D143" s="51" t="s">
        <v>50</v>
      </c>
      <c r="E143" s="51" t="s">
        <v>217</v>
      </c>
      <c r="F143" s="51" t="s">
        <v>86</v>
      </c>
      <c r="G143" s="52">
        <v>2</v>
      </c>
      <c r="H143" s="53">
        <f>WORKDAY(I141,1)</f>
        <v>46238</v>
      </c>
      <c r="I143" s="53">
        <f t="shared" si="14"/>
        <v>46240</v>
      </c>
      <c r="J143" s="54">
        <f>IF(F143="New AP Lead", G143/$N$5, IF(F143="Kent", G143/$N$4, ""))</f>
        <v>2</v>
      </c>
      <c r="K143" s="55" t="s">
        <v>22</v>
      </c>
    </row>
    <row r="144" spans="1:11">
      <c r="A144" s="51" t="s">
        <v>215</v>
      </c>
      <c r="B144" s="81" t="s">
        <v>84</v>
      </c>
      <c r="C144" s="77" t="s">
        <v>212</v>
      </c>
      <c r="D144" s="51" t="s">
        <v>278</v>
      </c>
      <c r="E144" s="51" t="s">
        <v>218</v>
      </c>
      <c r="F144" s="51" t="s">
        <v>86</v>
      </c>
      <c r="G144" s="52">
        <v>1</v>
      </c>
      <c r="H144" s="53">
        <f t="shared" si="15"/>
        <v>46241</v>
      </c>
      <c r="I144" s="53">
        <f t="shared" si="14"/>
        <v>46244</v>
      </c>
      <c r="J144" s="54">
        <f>IF(F144="New AP Lead", G144/$N$5, IF(F144="Kent", G144/$N$4, ""))</f>
        <v>1</v>
      </c>
      <c r="K144" s="55" t="s">
        <v>22</v>
      </c>
    </row>
    <row r="145" spans="1:11">
      <c r="A145" s="51" t="s">
        <v>100</v>
      </c>
      <c r="B145" s="81" t="s">
        <v>84</v>
      </c>
      <c r="C145" s="77" t="s">
        <v>219</v>
      </c>
      <c r="D145" s="51" t="s">
        <v>46</v>
      </c>
      <c r="E145" s="51" t="s">
        <v>220</v>
      </c>
      <c r="F145" s="51" t="s">
        <v>18</v>
      </c>
      <c r="G145" s="52">
        <v>2</v>
      </c>
      <c r="H145" s="53">
        <f>WORKDAY(I139,1)</f>
        <v>46226</v>
      </c>
      <c r="I145" s="53">
        <f t="shared" si="14"/>
        <v>46230</v>
      </c>
      <c r="J145" s="54">
        <f>IF(F145="New AP Lead", G145/$N$5, IF(F145="Kent", G145/$N$4, ""))</f>
        <v>2</v>
      </c>
      <c r="K145" s="55" t="s">
        <v>22</v>
      </c>
    </row>
    <row r="146" spans="1:11">
      <c r="A146" s="51" t="s">
        <v>100</v>
      </c>
      <c r="B146" s="81" t="s">
        <v>84</v>
      </c>
      <c r="C146" s="77" t="s">
        <v>219</v>
      </c>
      <c r="D146" s="51" t="s">
        <v>46</v>
      </c>
      <c r="E146" s="51" t="s">
        <v>221</v>
      </c>
      <c r="F146" s="51" t="s">
        <v>18</v>
      </c>
      <c r="G146" s="52">
        <v>2</v>
      </c>
      <c r="H146" s="53">
        <f t="shared" ref="H146:H154" si="16">WORKDAY(I145,1)</f>
        <v>46231</v>
      </c>
      <c r="I146" s="53">
        <f t="shared" si="14"/>
        <v>46233</v>
      </c>
      <c r="J146" s="54">
        <f>IF(F146="New AP Lead", G146/$N$5, IF(F146="Kent", G146/$N$4, ""))</f>
        <v>2</v>
      </c>
      <c r="K146" s="55" t="s">
        <v>22</v>
      </c>
    </row>
    <row r="147" spans="1:11">
      <c r="A147" s="51" t="s">
        <v>107</v>
      </c>
      <c r="B147" s="81" t="s">
        <v>84</v>
      </c>
      <c r="C147" s="77" t="s">
        <v>219</v>
      </c>
      <c r="D147" s="51" t="s">
        <v>50</v>
      </c>
      <c r="E147" s="51" t="s">
        <v>222</v>
      </c>
      <c r="F147" s="51" t="s">
        <v>281</v>
      </c>
      <c r="G147" s="52">
        <v>3.5</v>
      </c>
      <c r="H147" s="53">
        <f t="shared" si="16"/>
        <v>46234</v>
      </c>
      <c r="I147" s="53">
        <f t="shared" si="14"/>
        <v>46239</v>
      </c>
      <c r="J147" s="54">
        <f>G147/$N$6</f>
        <v>3.5</v>
      </c>
      <c r="K147" s="55" t="s">
        <v>22</v>
      </c>
    </row>
    <row r="148" spans="1:11">
      <c r="A148" s="51" t="s">
        <v>107</v>
      </c>
      <c r="B148" s="81" t="s">
        <v>84</v>
      </c>
      <c r="C148" s="77" t="s">
        <v>219</v>
      </c>
      <c r="D148" s="51" t="s">
        <v>50</v>
      </c>
      <c r="E148" s="51" t="s">
        <v>223</v>
      </c>
      <c r="F148" s="51" t="s">
        <v>18</v>
      </c>
      <c r="G148" s="52">
        <v>4</v>
      </c>
      <c r="H148" s="53">
        <f>WORKDAY(I146,1)</f>
        <v>46234</v>
      </c>
      <c r="I148" s="53">
        <f t="shared" si="14"/>
        <v>46240</v>
      </c>
      <c r="J148" s="54">
        <f>IF(F148="New AP Lead", G148/$N$5, IF(F148="Kent", G148/$N$4, ""))</f>
        <v>4</v>
      </c>
      <c r="K148" s="55" t="s">
        <v>22</v>
      </c>
    </row>
    <row r="149" spans="1:11">
      <c r="A149" s="51" t="s">
        <v>107</v>
      </c>
      <c r="B149" s="81" t="s">
        <v>84</v>
      </c>
      <c r="C149" s="77" t="s">
        <v>219</v>
      </c>
      <c r="D149" s="51" t="s">
        <v>278</v>
      </c>
      <c r="E149" s="51" t="s">
        <v>224</v>
      </c>
      <c r="F149" s="51" t="s">
        <v>18</v>
      </c>
      <c r="G149" s="52">
        <v>1.5</v>
      </c>
      <c r="H149" s="53">
        <f t="shared" si="16"/>
        <v>46241</v>
      </c>
      <c r="I149" s="53">
        <f t="shared" si="14"/>
        <v>46244</v>
      </c>
      <c r="J149" s="54">
        <f>IF(F149="New AP Lead", G149/$N$5, IF(F149="Kent", G149/$N$4, ""))</f>
        <v>1.5</v>
      </c>
      <c r="K149" s="55" t="s">
        <v>22</v>
      </c>
    </row>
    <row r="150" spans="1:11">
      <c r="A150" s="51" t="s">
        <v>113</v>
      </c>
      <c r="B150" s="81" t="s">
        <v>84</v>
      </c>
      <c r="C150" s="77" t="s">
        <v>225</v>
      </c>
      <c r="D150" s="51" t="s">
        <v>46</v>
      </c>
      <c r="E150" s="51" t="s">
        <v>226</v>
      </c>
      <c r="F150" s="51" t="s">
        <v>86</v>
      </c>
      <c r="G150" s="52">
        <v>2</v>
      </c>
      <c r="H150" s="53">
        <f>WORKDAY(I144,1)</f>
        <v>46245</v>
      </c>
      <c r="I150" s="53">
        <f t="shared" si="14"/>
        <v>46247</v>
      </c>
      <c r="J150" s="54">
        <f>IF(F150="New AP Lead", G150/$N$5, IF(F150="Kent", G150/$N$4, ""))</f>
        <v>2</v>
      </c>
      <c r="K150" s="55" t="s">
        <v>22</v>
      </c>
    </row>
    <row r="151" spans="1:11">
      <c r="A151" s="51" t="s">
        <v>113</v>
      </c>
      <c r="B151" s="81" t="s">
        <v>84</v>
      </c>
      <c r="C151" s="77" t="s">
        <v>225</v>
      </c>
      <c r="D151" s="51" t="s">
        <v>46</v>
      </c>
      <c r="E151" s="51" t="s">
        <v>227</v>
      </c>
      <c r="F151" s="51" t="s">
        <v>86</v>
      </c>
      <c r="G151" s="52">
        <v>2</v>
      </c>
      <c r="H151" s="53">
        <f t="shared" si="16"/>
        <v>46248</v>
      </c>
      <c r="I151" s="53">
        <f t="shared" si="14"/>
        <v>46252</v>
      </c>
      <c r="J151" s="54">
        <f>IF(F151="New AP Lead", G151/$N$5, IF(F151="Kent", G151/$N$4, ""))</f>
        <v>2</v>
      </c>
      <c r="K151" s="55" t="s">
        <v>22</v>
      </c>
    </row>
    <row r="152" spans="1:11">
      <c r="A152" s="51" t="s">
        <v>113</v>
      </c>
      <c r="B152" s="81" t="s">
        <v>84</v>
      </c>
      <c r="C152" s="77" t="s">
        <v>225</v>
      </c>
      <c r="D152" s="51" t="s">
        <v>50</v>
      </c>
      <c r="E152" s="51" t="s">
        <v>228</v>
      </c>
      <c r="F152" s="51" t="s">
        <v>281</v>
      </c>
      <c r="G152" s="52">
        <v>2.5</v>
      </c>
      <c r="H152" s="53">
        <f t="shared" si="16"/>
        <v>46253</v>
      </c>
      <c r="I152" s="53">
        <f t="shared" si="14"/>
        <v>46255</v>
      </c>
      <c r="J152" s="54">
        <f>G152/$N$6</f>
        <v>2.5</v>
      </c>
      <c r="K152" s="55" t="s">
        <v>22</v>
      </c>
    </row>
    <row r="153" spans="1:11">
      <c r="A153" s="51" t="s">
        <v>115</v>
      </c>
      <c r="B153" s="81" t="s">
        <v>84</v>
      </c>
      <c r="C153" s="77" t="s">
        <v>225</v>
      </c>
      <c r="D153" s="51" t="s">
        <v>50</v>
      </c>
      <c r="E153" s="51" t="s">
        <v>229</v>
      </c>
      <c r="F153" s="51" t="s">
        <v>86</v>
      </c>
      <c r="G153" s="52">
        <v>4.5</v>
      </c>
      <c r="H153" s="53">
        <f>WORKDAY(I151,1)</f>
        <v>46253</v>
      </c>
      <c r="I153" s="53">
        <f t="shared" si="14"/>
        <v>46259</v>
      </c>
      <c r="J153" s="54">
        <f>IF(F153="New AP Lead", G153/$N$5, IF(F153="Kent", G153/$N$4, ""))</f>
        <v>4.5</v>
      </c>
      <c r="K153" s="55" t="s">
        <v>22</v>
      </c>
    </row>
    <row r="154" spans="1:11">
      <c r="A154" s="51" t="s">
        <v>115</v>
      </c>
      <c r="B154" s="81" t="s">
        <v>84</v>
      </c>
      <c r="C154" s="77" t="s">
        <v>225</v>
      </c>
      <c r="D154" s="51" t="s">
        <v>278</v>
      </c>
      <c r="E154" s="51" t="s">
        <v>230</v>
      </c>
      <c r="F154" s="51" t="s">
        <v>86</v>
      </c>
      <c r="G154" s="52">
        <v>2</v>
      </c>
      <c r="H154" s="53">
        <f t="shared" si="16"/>
        <v>46260</v>
      </c>
      <c r="I154" s="53">
        <f t="shared" si="14"/>
        <v>46262</v>
      </c>
      <c r="J154" s="54">
        <f>IF(F154="New AP Lead", G154/$N$5, IF(F154="Kent", G154/$N$4, ""))</f>
        <v>2</v>
      </c>
      <c r="K154" s="55" t="s">
        <v>22</v>
      </c>
    </row>
    <row r="155" spans="1:11">
      <c r="A155" s="51" t="s">
        <v>115</v>
      </c>
      <c r="B155" s="81" t="s">
        <v>84</v>
      </c>
      <c r="C155" s="77" t="s">
        <v>231</v>
      </c>
      <c r="D155" s="51" t="s">
        <v>46</v>
      </c>
      <c r="E155" s="51" t="s">
        <v>232</v>
      </c>
      <c r="F155" s="51" t="s">
        <v>18</v>
      </c>
      <c r="G155" s="52">
        <v>1</v>
      </c>
      <c r="H155" s="53">
        <f>WORKDAY(I149,1)</f>
        <v>46245</v>
      </c>
      <c r="I155" s="53">
        <f t="shared" si="14"/>
        <v>46246</v>
      </c>
      <c r="J155" s="54">
        <f>IF(F155="New AP Lead", G155/$N$5, IF(F155="Kent", G155/$N$4, ""))</f>
        <v>1</v>
      </c>
      <c r="K155" s="55" t="s">
        <v>22</v>
      </c>
    </row>
    <row r="156" spans="1:11">
      <c r="A156" s="51" t="s">
        <v>121</v>
      </c>
      <c r="B156" s="81" t="s">
        <v>84</v>
      </c>
      <c r="C156" s="77" t="s">
        <v>231</v>
      </c>
      <c r="D156" s="51" t="s">
        <v>46</v>
      </c>
      <c r="E156" s="51" t="s">
        <v>233</v>
      </c>
      <c r="F156" s="51" t="s">
        <v>18</v>
      </c>
      <c r="G156" s="52">
        <v>1</v>
      </c>
      <c r="H156" s="53">
        <f t="shared" ref="H156:H178" si="17">WORKDAY(I155,1)</f>
        <v>46247</v>
      </c>
      <c r="I156" s="53">
        <f t="shared" si="14"/>
        <v>46248</v>
      </c>
      <c r="J156" s="54">
        <f>IF(F156="New AP Lead", G156/$N$5, IF(F156="Kent", G156/$N$4, ""))</f>
        <v>1</v>
      </c>
      <c r="K156" s="55" t="s">
        <v>22</v>
      </c>
    </row>
    <row r="157" spans="1:11">
      <c r="A157" s="51" t="s">
        <v>121</v>
      </c>
      <c r="B157" s="81" t="s">
        <v>84</v>
      </c>
      <c r="C157" s="77" t="s">
        <v>231</v>
      </c>
      <c r="D157" s="51" t="s">
        <v>50</v>
      </c>
      <c r="E157" s="51" t="s">
        <v>234</v>
      </c>
      <c r="F157" s="51" t="s">
        <v>281</v>
      </c>
      <c r="G157" s="52">
        <v>1</v>
      </c>
      <c r="H157" s="53">
        <f t="shared" si="17"/>
        <v>46251</v>
      </c>
      <c r="I157" s="53">
        <f t="shared" si="14"/>
        <v>46252</v>
      </c>
      <c r="J157" s="54">
        <f>G157/$N$6</f>
        <v>1</v>
      </c>
      <c r="K157" s="55" t="s">
        <v>22</v>
      </c>
    </row>
    <row r="158" spans="1:11">
      <c r="A158" s="51" t="s">
        <v>121</v>
      </c>
      <c r="B158" s="81" t="s">
        <v>84</v>
      </c>
      <c r="C158" s="77" t="s">
        <v>231</v>
      </c>
      <c r="D158" s="51" t="s">
        <v>50</v>
      </c>
      <c r="E158" s="51" t="s">
        <v>235</v>
      </c>
      <c r="F158" s="51" t="s">
        <v>18</v>
      </c>
      <c r="G158" s="52">
        <v>2</v>
      </c>
      <c r="H158" s="53">
        <f>WORKDAY(I156,1)</f>
        <v>46251</v>
      </c>
      <c r="I158" s="53">
        <f t="shared" si="14"/>
        <v>46253</v>
      </c>
      <c r="J158" s="54">
        <f>IF(F158="New AP Lead", G158/$N$5, IF(F158="Kent", G158/$N$4, ""))</f>
        <v>2</v>
      </c>
      <c r="K158" s="55" t="s">
        <v>22</v>
      </c>
    </row>
    <row r="159" spans="1:11">
      <c r="A159" s="51" t="s">
        <v>121</v>
      </c>
      <c r="B159" s="81" t="s">
        <v>84</v>
      </c>
      <c r="C159" s="77" t="s">
        <v>231</v>
      </c>
      <c r="D159" s="51" t="s">
        <v>278</v>
      </c>
      <c r="E159" s="51" t="s">
        <v>236</v>
      </c>
      <c r="F159" s="51" t="s">
        <v>18</v>
      </c>
      <c r="G159" s="52">
        <v>1</v>
      </c>
      <c r="H159" s="53">
        <f t="shared" si="17"/>
        <v>46254</v>
      </c>
      <c r="I159" s="53">
        <f t="shared" si="14"/>
        <v>46255</v>
      </c>
      <c r="J159" s="54">
        <f>IF(F159="New AP Lead", G159/$N$5, IF(F159="Kent", G159/$N$4, ""))</f>
        <v>1</v>
      </c>
      <c r="K159" s="55" t="s">
        <v>22</v>
      </c>
    </row>
    <row r="160" spans="1:11">
      <c r="A160" s="51" t="s">
        <v>121</v>
      </c>
      <c r="B160" s="81" t="s">
        <v>84</v>
      </c>
      <c r="C160" s="77" t="s">
        <v>237</v>
      </c>
      <c r="D160" s="51" t="s">
        <v>46</v>
      </c>
      <c r="E160" s="51" t="s">
        <v>238</v>
      </c>
      <c r="F160" s="51" t="s">
        <v>86</v>
      </c>
      <c r="G160" s="52">
        <v>1</v>
      </c>
      <c r="H160" s="53">
        <f>WORKDAY(I154,1)</f>
        <v>46265</v>
      </c>
      <c r="I160" s="53">
        <f t="shared" si="14"/>
        <v>46266</v>
      </c>
      <c r="J160" s="54">
        <f>IF(F160="New AP Lead", G160/$N$5, IF(F160="Kent", G160/$N$4, ""))</f>
        <v>1</v>
      </c>
      <c r="K160" s="55" t="s">
        <v>22</v>
      </c>
    </row>
    <row r="161" spans="1:11">
      <c r="A161" s="51" t="s">
        <v>125</v>
      </c>
      <c r="B161" s="81" t="s">
        <v>84</v>
      </c>
      <c r="C161" s="77" t="s">
        <v>237</v>
      </c>
      <c r="D161" s="51" t="s">
        <v>46</v>
      </c>
      <c r="E161" s="51" t="s">
        <v>239</v>
      </c>
      <c r="F161" s="51" t="s">
        <v>86</v>
      </c>
      <c r="G161" s="52">
        <v>1</v>
      </c>
      <c r="H161" s="53">
        <f t="shared" si="17"/>
        <v>46267</v>
      </c>
      <c r="I161" s="53">
        <f t="shared" si="14"/>
        <v>46268</v>
      </c>
      <c r="J161" s="54">
        <f>IF(F161="New AP Lead", G161/$N$5, IF(F161="Kent", G161/$N$4, ""))</f>
        <v>1</v>
      </c>
      <c r="K161" s="55" t="s">
        <v>22</v>
      </c>
    </row>
    <row r="162" spans="1:11">
      <c r="A162" s="51" t="s">
        <v>125</v>
      </c>
      <c r="B162" s="81" t="s">
        <v>84</v>
      </c>
      <c r="C162" s="77" t="s">
        <v>237</v>
      </c>
      <c r="D162" s="51" t="s">
        <v>50</v>
      </c>
      <c r="E162" s="51" t="s">
        <v>240</v>
      </c>
      <c r="F162" s="51" t="s">
        <v>281</v>
      </c>
      <c r="G162" s="52">
        <v>3</v>
      </c>
      <c r="H162" s="53">
        <f t="shared" si="17"/>
        <v>46269</v>
      </c>
      <c r="I162" s="53">
        <f t="shared" si="14"/>
        <v>46274</v>
      </c>
      <c r="J162" s="54">
        <f>G162/$N$6</f>
        <v>3</v>
      </c>
      <c r="K162" s="55" t="s">
        <v>22</v>
      </c>
    </row>
    <row r="163" spans="1:11">
      <c r="A163" s="51" t="s">
        <v>125</v>
      </c>
      <c r="B163" s="81" t="s">
        <v>84</v>
      </c>
      <c r="C163" s="77" t="s">
        <v>237</v>
      </c>
      <c r="D163" s="51" t="s">
        <v>50</v>
      </c>
      <c r="E163" s="51" t="s">
        <v>241</v>
      </c>
      <c r="F163" s="51" t="s">
        <v>86</v>
      </c>
      <c r="G163" s="52">
        <v>4</v>
      </c>
      <c r="H163" s="53">
        <f>WORKDAY(I161,1)</f>
        <v>46269</v>
      </c>
      <c r="I163" s="53">
        <f t="shared" si="14"/>
        <v>46275</v>
      </c>
      <c r="J163" s="54">
        <f>IF(F163="New AP Lead", G163/$N$5, IF(F163="Kent", G163/$N$4, ""))</f>
        <v>4</v>
      </c>
      <c r="K163" s="55" t="s">
        <v>22</v>
      </c>
    </row>
    <row r="164" spans="1:11">
      <c r="A164" s="51" t="s">
        <v>149</v>
      </c>
      <c r="B164" s="81" t="s">
        <v>84</v>
      </c>
      <c r="C164" s="77" t="s">
        <v>237</v>
      </c>
      <c r="D164" s="51" t="s">
        <v>278</v>
      </c>
      <c r="E164" s="51" t="s">
        <v>242</v>
      </c>
      <c r="F164" s="51" t="s">
        <v>86</v>
      </c>
      <c r="G164" s="52">
        <v>2</v>
      </c>
      <c r="H164" s="53">
        <f t="shared" si="17"/>
        <v>46276</v>
      </c>
      <c r="I164" s="53">
        <f t="shared" si="14"/>
        <v>46280</v>
      </c>
      <c r="J164" s="54">
        <f>IF(F164="New AP Lead", G164/$N$5, IF(F164="Kent", G164/$N$4, ""))</f>
        <v>2</v>
      </c>
      <c r="K164" s="55" t="s">
        <v>22</v>
      </c>
    </row>
    <row r="165" spans="1:11">
      <c r="A165" s="51" t="s">
        <v>149</v>
      </c>
      <c r="B165" s="81" t="s">
        <v>84</v>
      </c>
      <c r="C165" s="77" t="s">
        <v>243</v>
      </c>
      <c r="D165" s="51" t="s">
        <v>46</v>
      </c>
      <c r="E165" s="51" t="s">
        <v>244</v>
      </c>
      <c r="F165" s="51" t="s">
        <v>18</v>
      </c>
      <c r="G165" s="52">
        <v>1</v>
      </c>
      <c r="H165" s="53">
        <f>WORKDAY(I159,1)</f>
        <v>46258</v>
      </c>
      <c r="I165" s="53">
        <f t="shared" si="14"/>
        <v>46259</v>
      </c>
      <c r="J165" s="54">
        <f>IF(F165="New AP Lead", G165/$N$5, IF(F165="Kent", G165/$N$4, ""))</f>
        <v>1</v>
      </c>
      <c r="K165" s="55" t="s">
        <v>22</v>
      </c>
    </row>
    <row r="166" spans="1:11">
      <c r="A166" s="51" t="s">
        <v>149</v>
      </c>
      <c r="B166" s="81" t="s">
        <v>84</v>
      </c>
      <c r="C166" s="77" t="s">
        <v>243</v>
      </c>
      <c r="D166" s="51" t="s">
        <v>46</v>
      </c>
      <c r="E166" s="51" t="s">
        <v>245</v>
      </c>
      <c r="F166" s="51" t="s">
        <v>18</v>
      </c>
      <c r="G166" s="52">
        <v>1</v>
      </c>
      <c r="H166" s="53">
        <f t="shared" si="17"/>
        <v>46260</v>
      </c>
      <c r="I166" s="53">
        <f t="shared" si="14"/>
        <v>46261</v>
      </c>
      <c r="J166" s="54">
        <f>IF(F166="New AP Lead", G166/$N$5, IF(F166="Kent", G166/$N$4, ""))</f>
        <v>1</v>
      </c>
      <c r="K166" s="55" t="s">
        <v>22</v>
      </c>
    </row>
    <row r="167" spans="1:11">
      <c r="A167" s="51" t="s">
        <v>149</v>
      </c>
      <c r="B167" s="81" t="s">
        <v>84</v>
      </c>
      <c r="C167" s="77" t="s">
        <v>243</v>
      </c>
      <c r="D167" s="51" t="s">
        <v>50</v>
      </c>
      <c r="E167" s="51" t="s">
        <v>246</v>
      </c>
      <c r="F167" s="51" t="s">
        <v>281</v>
      </c>
      <c r="G167" s="52">
        <v>2</v>
      </c>
      <c r="H167" s="53">
        <f t="shared" si="17"/>
        <v>46262</v>
      </c>
      <c r="I167" s="53">
        <f t="shared" si="14"/>
        <v>46266</v>
      </c>
      <c r="J167" s="54">
        <f>G167/$N$6</f>
        <v>2</v>
      </c>
      <c r="K167" s="55" t="s">
        <v>22</v>
      </c>
    </row>
    <row r="168" spans="1:11">
      <c r="A168" s="51" t="s">
        <v>151</v>
      </c>
      <c r="B168" s="81" t="s">
        <v>84</v>
      </c>
      <c r="C168" s="77" t="s">
        <v>243</v>
      </c>
      <c r="D168" s="51" t="s">
        <v>50</v>
      </c>
      <c r="E168" s="51" t="s">
        <v>247</v>
      </c>
      <c r="F168" s="51" t="s">
        <v>18</v>
      </c>
      <c r="G168" s="52">
        <v>2</v>
      </c>
      <c r="H168" s="53">
        <f>WORKDAY(I166,1)</f>
        <v>46262</v>
      </c>
      <c r="I168" s="53">
        <f t="shared" si="14"/>
        <v>46266</v>
      </c>
      <c r="J168" s="54">
        <f>IF(F168="New AP Lead", G168/$N$5, IF(F168="Kent", G168/$N$4, ""))</f>
        <v>2</v>
      </c>
      <c r="K168" s="55" t="s">
        <v>22</v>
      </c>
    </row>
    <row r="169" spans="1:11">
      <c r="A169" s="51" t="s">
        <v>151</v>
      </c>
      <c r="B169" s="81" t="s">
        <v>84</v>
      </c>
      <c r="C169" s="77" t="s">
        <v>243</v>
      </c>
      <c r="D169" s="51" t="s">
        <v>278</v>
      </c>
      <c r="E169" s="51" t="s">
        <v>248</v>
      </c>
      <c r="F169" s="51" t="s">
        <v>18</v>
      </c>
      <c r="G169" s="52">
        <v>1</v>
      </c>
      <c r="H169" s="53">
        <f t="shared" si="17"/>
        <v>46267</v>
      </c>
      <c r="I169" s="53">
        <f t="shared" si="14"/>
        <v>46268</v>
      </c>
      <c r="J169" s="54">
        <f>IF(F169="New AP Lead", G169/$N$5, IF(F169="Kent", G169/$N$4, ""))</f>
        <v>1</v>
      </c>
      <c r="K169" s="55" t="s">
        <v>22</v>
      </c>
    </row>
    <row r="170" spans="1:11">
      <c r="A170" s="51" t="s">
        <v>151</v>
      </c>
      <c r="B170" s="81" t="s">
        <v>84</v>
      </c>
      <c r="C170" s="77" t="s">
        <v>249</v>
      </c>
      <c r="D170" s="51" t="s">
        <v>46</v>
      </c>
      <c r="E170" s="51" t="s">
        <v>250</v>
      </c>
      <c r="F170" s="51" t="s">
        <v>86</v>
      </c>
      <c r="G170" s="52">
        <v>1</v>
      </c>
      <c r="H170" s="53">
        <f>WORKDAY(I164,1)</f>
        <v>46281</v>
      </c>
      <c r="I170" s="53">
        <f t="shared" si="14"/>
        <v>46282</v>
      </c>
      <c r="J170" s="54">
        <f>IF(F170="New AP Lead", G170/$N$5, IF(F170="Kent", G170/$N$4, ""))</f>
        <v>1</v>
      </c>
      <c r="K170" s="55" t="s">
        <v>22</v>
      </c>
    </row>
    <row r="171" spans="1:11">
      <c r="A171" s="51" t="s">
        <v>151</v>
      </c>
      <c r="B171" s="81" t="s">
        <v>84</v>
      </c>
      <c r="C171" s="77" t="s">
        <v>249</v>
      </c>
      <c r="D171" s="51" t="s">
        <v>46</v>
      </c>
      <c r="E171" s="51" t="s">
        <v>251</v>
      </c>
      <c r="F171" s="51" t="s">
        <v>86</v>
      </c>
      <c r="G171" s="52">
        <v>1</v>
      </c>
      <c r="H171" s="53">
        <f t="shared" si="17"/>
        <v>46283</v>
      </c>
      <c r="I171" s="53">
        <f t="shared" si="14"/>
        <v>46286</v>
      </c>
      <c r="J171" s="54">
        <f>IF(F171="New AP Lead", G171/$N$5, IF(F171="Kent", G171/$N$4, ""))</f>
        <v>1</v>
      </c>
      <c r="K171" s="55" t="s">
        <v>22</v>
      </c>
    </row>
    <row r="172" spans="1:11">
      <c r="A172" s="51" t="s">
        <v>156</v>
      </c>
      <c r="B172" s="81" t="s">
        <v>84</v>
      </c>
      <c r="C172" s="77" t="s">
        <v>249</v>
      </c>
      <c r="D172" s="51" t="s">
        <v>50</v>
      </c>
      <c r="E172" s="51" t="s">
        <v>252</v>
      </c>
      <c r="F172" s="51" t="s">
        <v>281</v>
      </c>
      <c r="G172" s="52">
        <v>1</v>
      </c>
      <c r="H172" s="53">
        <f t="shared" si="17"/>
        <v>46287</v>
      </c>
      <c r="I172" s="53">
        <f t="shared" si="14"/>
        <v>46288</v>
      </c>
      <c r="J172" s="54">
        <f>G172/$N$6</f>
        <v>1</v>
      </c>
      <c r="K172" s="55" t="s">
        <v>22</v>
      </c>
    </row>
    <row r="173" spans="1:11">
      <c r="A173" s="51" t="s">
        <v>156</v>
      </c>
      <c r="B173" s="81" t="s">
        <v>84</v>
      </c>
      <c r="C173" s="77" t="s">
        <v>249</v>
      </c>
      <c r="D173" s="51" t="s">
        <v>50</v>
      </c>
      <c r="E173" s="51" t="s">
        <v>253</v>
      </c>
      <c r="F173" s="51" t="s">
        <v>86</v>
      </c>
      <c r="G173" s="52">
        <v>4</v>
      </c>
      <c r="H173" s="53">
        <f>WORKDAY(I171,1)</f>
        <v>46287</v>
      </c>
      <c r="I173" s="53">
        <f t="shared" si="14"/>
        <v>46293</v>
      </c>
      <c r="J173" s="54">
        <f t="shared" ref="J173:J186" si="18">IF(F173="New AP Lead", G173/$N$5, IF(F173="Kent", G173/$N$4, ""))</f>
        <v>4</v>
      </c>
      <c r="K173" s="55" t="s">
        <v>22</v>
      </c>
    </row>
    <row r="174" spans="1:11">
      <c r="A174" s="51" t="s">
        <v>156</v>
      </c>
      <c r="B174" s="81" t="s">
        <v>84</v>
      </c>
      <c r="C174" s="77" t="s">
        <v>249</v>
      </c>
      <c r="D174" s="51" t="s">
        <v>278</v>
      </c>
      <c r="E174" s="51" t="s">
        <v>254</v>
      </c>
      <c r="F174" s="51" t="s">
        <v>86</v>
      </c>
      <c r="G174" s="52">
        <v>1</v>
      </c>
      <c r="H174" s="53">
        <f t="shared" si="17"/>
        <v>46294</v>
      </c>
      <c r="I174" s="53">
        <f t="shared" si="14"/>
        <v>46295</v>
      </c>
      <c r="J174" s="54">
        <f t="shared" si="18"/>
        <v>1</v>
      </c>
      <c r="K174" s="55" t="s">
        <v>22</v>
      </c>
    </row>
    <row r="175" spans="1:11" ht="13.5">
      <c r="A175" s="51" t="s">
        <v>159</v>
      </c>
      <c r="B175" s="81" t="s">
        <v>84</v>
      </c>
      <c r="C175" s="77" t="s">
        <v>255</v>
      </c>
      <c r="D175" s="51" t="s">
        <v>46</v>
      </c>
      <c r="E175" s="77" t="s">
        <v>256</v>
      </c>
      <c r="F175" s="51" t="s">
        <v>18</v>
      </c>
      <c r="G175" s="52">
        <v>1</v>
      </c>
      <c r="H175" s="53">
        <f>WORKDAY(I171,1)</f>
        <v>46287</v>
      </c>
      <c r="I175" s="53">
        <f t="shared" ref="I175:I178" si="19">WORKDAY(H175,J175)</f>
        <v>46288</v>
      </c>
      <c r="J175" s="54">
        <f t="shared" si="18"/>
        <v>1</v>
      </c>
      <c r="K175" s="55" t="s">
        <v>22</v>
      </c>
    </row>
    <row r="176" spans="1:11" ht="13.5">
      <c r="A176" s="51" t="s">
        <v>159</v>
      </c>
      <c r="B176" s="81" t="s">
        <v>84</v>
      </c>
      <c r="C176" s="77" t="s">
        <v>255</v>
      </c>
      <c r="D176" s="51" t="s">
        <v>46</v>
      </c>
      <c r="E176" s="77" t="s">
        <v>257</v>
      </c>
      <c r="F176" s="51" t="s">
        <v>18</v>
      </c>
      <c r="G176" s="52">
        <v>1</v>
      </c>
      <c r="H176" s="53">
        <f t="shared" si="17"/>
        <v>46289</v>
      </c>
      <c r="I176" s="53">
        <f t="shared" si="19"/>
        <v>46290</v>
      </c>
      <c r="J176" s="54">
        <f t="shared" si="18"/>
        <v>1</v>
      </c>
      <c r="K176" s="55" t="s">
        <v>22</v>
      </c>
    </row>
    <row r="177" spans="1:11" ht="13.5">
      <c r="A177" s="51" t="s">
        <v>159</v>
      </c>
      <c r="B177" s="81" t="s">
        <v>84</v>
      </c>
      <c r="C177" s="77" t="s">
        <v>255</v>
      </c>
      <c r="D177" s="51" t="s">
        <v>50</v>
      </c>
      <c r="E177" s="77" t="s">
        <v>258</v>
      </c>
      <c r="F177" s="51" t="s">
        <v>18</v>
      </c>
      <c r="G177" s="52">
        <v>3</v>
      </c>
      <c r="H177" s="53">
        <f>WORKDAY(I176,1)</f>
        <v>46293</v>
      </c>
      <c r="I177" s="53">
        <f t="shared" si="19"/>
        <v>46296</v>
      </c>
      <c r="J177" s="54">
        <f t="shared" si="18"/>
        <v>3</v>
      </c>
      <c r="K177" s="55" t="s">
        <v>22</v>
      </c>
    </row>
    <row r="178" spans="1:11" ht="13.5">
      <c r="A178" s="51" t="s">
        <v>159</v>
      </c>
      <c r="B178" s="81" t="s">
        <v>84</v>
      </c>
      <c r="C178" s="77" t="s">
        <v>255</v>
      </c>
      <c r="D178" s="51" t="s">
        <v>278</v>
      </c>
      <c r="E178" s="77" t="s">
        <v>259</v>
      </c>
      <c r="F178" s="51" t="s">
        <v>18</v>
      </c>
      <c r="G178" s="52">
        <v>1</v>
      </c>
      <c r="H178" s="53">
        <f t="shared" si="17"/>
        <v>46297</v>
      </c>
      <c r="I178" s="53">
        <f t="shared" si="19"/>
        <v>46300</v>
      </c>
      <c r="J178" s="54">
        <f t="shared" si="18"/>
        <v>1</v>
      </c>
      <c r="K178" s="55" t="s">
        <v>22</v>
      </c>
    </row>
    <row r="179" spans="1:11">
      <c r="A179" s="51" t="s">
        <v>215</v>
      </c>
      <c r="B179" s="81" t="s">
        <v>84</v>
      </c>
      <c r="C179" s="77" t="s">
        <v>260</v>
      </c>
      <c r="D179" s="51" t="s">
        <v>46</v>
      </c>
      <c r="E179" s="77" t="s">
        <v>261</v>
      </c>
      <c r="F179" s="51" t="s">
        <v>86</v>
      </c>
      <c r="G179" s="52">
        <v>1</v>
      </c>
      <c r="H179" s="53">
        <f>WORKDAY(I174,1)</f>
        <v>46296</v>
      </c>
      <c r="I179" s="53">
        <f>WORKDAY(H179,J179)</f>
        <v>46297</v>
      </c>
      <c r="J179" s="54">
        <f t="shared" si="18"/>
        <v>1</v>
      </c>
      <c r="K179" s="102" t="s">
        <v>22</v>
      </c>
    </row>
    <row r="180" spans="1:11">
      <c r="A180" s="51" t="s">
        <v>262</v>
      </c>
      <c r="B180" s="81" t="s">
        <v>84</v>
      </c>
      <c r="C180" s="77" t="s">
        <v>260</v>
      </c>
      <c r="D180" s="51" t="s">
        <v>46</v>
      </c>
      <c r="E180" s="77" t="s">
        <v>263</v>
      </c>
      <c r="F180" s="51" t="s">
        <v>86</v>
      </c>
      <c r="G180" s="52">
        <v>1</v>
      </c>
      <c r="H180" s="53">
        <f t="shared" ref="H180:H201" si="20">WORKDAY(I179,1)</f>
        <v>46300</v>
      </c>
      <c r="I180" s="53">
        <f t="shared" ref="I180" si="21">WORKDAY(H180,J180)</f>
        <v>46301</v>
      </c>
      <c r="J180" s="54">
        <f t="shared" si="18"/>
        <v>1</v>
      </c>
      <c r="K180" s="102" t="s">
        <v>22</v>
      </c>
    </row>
    <row r="181" spans="1:11">
      <c r="A181" s="51" t="s">
        <v>262</v>
      </c>
      <c r="B181" s="81" t="s">
        <v>84</v>
      </c>
      <c r="C181" s="77" t="s">
        <v>260</v>
      </c>
      <c r="D181" s="51" t="s">
        <v>50</v>
      </c>
      <c r="E181" s="77" t="s">
        <v>264</v>
      </c>
      <c r="F181" s="51" t="s">
        <v>86</v>
      </c>
      <c r="G181" s="52">
        <v>3</v>
      </c>
      <c r="H181" s="53">
        <f t="shared" si="20"/>
        <v>46302</v>
      </c>
      <c r="I181" s="53">
        <f>WORKDAY(H181,J181)</f>
        <v>46307</v>
      </c>
      <c r="J181" s="54">
        <f t="shared" si="18"/>
        <v>3</v>
      </c>
      <c r="K181" s="102" t="s">
        <v>22</v>
      </c>
    </row>
    <row r="182" spans="1:11">
      <c r="A182" s="51" t="s">
        <v>262</v>
      </c>
      <c r="B182" s="81" t="s">
        <v>84</v>
      </c>
      <c r="C182" s="77" t="s">
        <v>260</v>
      </c>
      <c r="D182" s="51" t="s">
        <v>278</v>
      </c>
      <c r="E182" s="77" t="s">
        <v>265</v>
      </c>
      <c r="F182" s="51" t="s">
        <v>86</v>
      </c>
      <c r="G182" s="52">
        <v>1</v>
      </c>
      <c r="H182" s="53">
        <f t="shared" si="20"/>
        <v>46308</v>
      </c>
      <c r="I182" s="53">
        <f t="shared" ref="I182:I184" si="22">WORKDAY(H182,J182)</f>
        <v>46309</v>
      </c>
      <c r="J182" s="54">
        <f t="shared" si="18"/>
        <v>1</v>
      </c>
      <c r="K182" s="102" t="s">
        <v>22</v>
      </c>
    </row>
    <row r="183" spans="1:11">
      <c r="A183" s="51" t="s">
        <v>262</v>
      </c>
      <c r="B183" s="81" t="s">
        <v>84</v>
      </c>
      <c r="C183" s="77" t="s">
        <v>266</v>
      </c>
      <c r="D183" s="51" t="s">
        <v>46</v>
      </c>
      <c r="E183" s="77" t="s">
        <v>267</v>
      </c>
      <c r="F183" s="51" t="s">
        <v>18</v>
      </c>
      <c r="G183" s="52">
        <v>1</v>
      </c>
      <c r="H183" s="53">
        <f>WORKDAY(I178,1)</f>
        <v>46301</v>
      </c>
      <c r="I183" s="53">
        <f t="shared" si="22"/>
        <v>46302</v>
      </c>
      <c r="J183" s="54">
        <f t="shared" si="18"/>
        <v>1</v>
      </c>
      <c r="K183" s="102" t="s">
        <v>22</v>
      </c>
    </row>
    <row r="184" spans="1:11">
      <c r="A184" s="51" t="s">
        <v>268</v>
      </c>
      <c r="B184" s="81" t="s">
        <v>84</v>
      </c>
      <c r="C184" s="77" t="s">
        <v>266</v>
      </c>
      <c r="D184" s="51" t="s">
        <v>46</v>
      </c>
      <c r="E184" s="77" t="s">
        <v>269</v>
      </c>
      <c r="F184" s="51" t="s">
        <v>18</v>
      </c>
      <c r="G184" s="52">
        <v>1</v>
      </c>
      <c r="H184" s="53">
        <f t="shared" si="20"/>
        <v>46303</v>
      </c>
      <c r="I184" s="53">
        <f t="shared" si="22"/>
        <v>46304</v>
      </c>
      <c r="J184" s="54">
        <f t="shared" si="18"/>
        <v>1</v>
      </c>
      <c r="K184" s="102" t="s">
        <v>22</v>
      </c>
    </row>
    <row r="185" spans="1:11">
      <c r="A185" s="51" t="s">
        <v>268</v>
      </c>
      <c r="B185" s="81" t="s">
        <v>84</v>
      </c>
      <c r="C185" s="77" t="s">
        <v>266</v>
      </c>
      <c r="D185" s="51" t="s">
        <v>50</v>
      </c>
      <c r="E185" s="77" t="s">
        <v>270</v>
      </c>
      <c r="F185" s="51" t="s">
        <v>18</v>
      </c>
      <c r="G185" s="52">
        <v>3</v>
      </c>
      <c r="H185" s="53">
        <f t="shared" si="20"/>
        <v>46307</v>
      </c>
      <c r="I185" s="53">
        <f>WORKDAY(H185,J185)</f>
        <v>46310</v>
      </c>
      <c r="J185" s="54">
        <f t="shared" si="18"/>
        <v>3</v>
      </c>
      <c r="K185" s="102" t="s">
        <v>22</v>
      </c>
    </row>
    <row r="186" spans="1:11">
      <c r="A186" s="82" t="s">
        <v>268</v>
      </c>
      <c r="B186" s="83" t="s">
        <v>84</v>
      </c>
      <c r="C186" s="88" t="s">
        <v>266</v>
      </c>
      <c r="D186" s="82" t="s">
        <v>278</v>
      </c>
      <c r="E186" s="88" t="s">
        <v>271</v>
      </c>
      <c r="F186" s="51" t="s">
        <v>18</v>
      </c>
      <c r="G186" s="52">
        <v>1</v>
      </c>
      <c r="H186" s="53">
        <f t="shared" si="20"/>
        <v>46311</v>
      </c>
      <c r="I186" s="98">
        <f>WORKDAY(H186,J186)</f>
        <v>46314</v>
      </c>
      <c r="J186" s="54">
        <f t="shared" si="18"/>
        <v>1</v>
      </c>
      <c r="K186" s="87" t="s">
        <v>22</v>
      </c>
    </row>
    <row r="187" spans="1:11">
      <c r="A187" s="51" t="s">
        <v>268</v>
      </c>
      <c r="B187" s="49" t="s">
        <v>274</v>
      </c>
      <c r="C187" s="77" t="s">
        <v>282</v>
      </c>
      <c r="D187" s="51" t="s">
        <v>46</v>
      </c>
      <c r="E187" s="51" t="s">
        <v>283</v>
      </c>
      <c r="F187" s="51" t="s">
        <v>86</v>
      </c>
      <c r="G187" s="52">
        <v>1</v>
      </c>
      <c r="H187" s="53">
        <v>46447</v>
      </c>
      <c r="I187" s="53">
        <f t="shared" ref="H187:I216" si="23">WORKDAY(H187,J187)</f>
        <v>46448</v>
      </c>
      <c r="J187" s="54">
        <f>G187/$N$4</f>
        <v>1</v>
      </c>
      <c r="K187" s="102" t="s">
        <v>22</v>
      </c>
    </row>
    <row r="188" spans="1:11">
      <c r="A188" s="51" t="s">
        <v>268</v>
      </c>
      <c r="B188" s="49" t="s">
        <v>274</v>
      </c>
      <c r="C188" s="77" t="s">
        <v>282</v>
      </c>
      <c r="D188" s="51" t="s">
        <v>46</v>
      </c>
      <c r="E188" s="51" t="s">
        <v>284</v>
      </c>
      <c r="F188" s="51" t="s">
        <v>86</v>
      </c>
      <c r="G188" s="52">
        <v>1</v>
      </c>
      <c r="H188" s="53">
        <f t="shared" si="20"/>
        <v>46449</v>
      </c>
      <c r="I188" s="53">
        <f t="shared" si="23"/>
        <v>46450</v>
      </c>
      <c r="J188" s="54">
        <f>G188/$N$4</f>
        <v>1</v>
      </c>
      <c r="K188" s="102" t="s">
        <v>22</v>
      </c>
    </row>
    <row r="189" spans="1:11">
      <c r="A189" s="51" t="s">
        <v>285</v>
      </c>
      <c r="B189" s="49" t="s">
        <v>274</v>
      </c>
      <c r="C189" s="77" t="s">
        <v>282</v>
      </c>
      <c r="D189" s="51" t="s">
        <v>50</v>
      </c>
      <c r="E189" s="51" t="s">
        <v>286</v>
      </c>
      <c r="F189" s="51" t="s">
        <v>281</v>
      </c>
      <c r="G189" s="52">
        <v>3</v>
      </c>
      <c r="H189" s="53">
        <f t="shared" ca="1" si="23"/>
        <v>46450</v>
      </c>
      <c r="I189" s="53">
        <f t="shared" ca="1" si="23"/>
        <v>45721</v>
      </c>
      <c r="J189" s="54">
        <f>G189/$N$6</f>
        <v>3</v>
      </c>
      <c r="K189" s="102" t="s">
        <v>22</v>
      </c>
    </row>
    <row r="190" spans="1:11">
      <c r="A190" s="51" t="s">
        <v>285</v>
      </c>
      <c r="B190" s="49" t="s">
        <v>274</v>
      </c>
      <c r="C190" s="77" t="s">
        <v>282</v>
      </c>
      <c r="D190" s="51" t="s">
        <v>50</v>
      </c>
      <c r="E190" s="51" t="s">
        <v>287</v>
      </c>
      <c r="F190" s="51" t="s">
        <v>86</v>
      </c>
      <c r="G190" s="52">
        <v>4</v>
      </c>
      <c r="H190" s="53">
        <f>WORKDAY(I188,1)</f>
        <v>46451</v>
      </c>
      <c r="I190" s="53">
        <f t="shared" si="23"/>
        <v>46457</v>
      </c>
      <c r="J190" s="54">
        <f>G190/$N$4</f>
        <v>4</v>
      </c>
      <c r="K190" s="102" t="s">
        <v>22</v>
      </c>
    </row>
    <row r="191" spans="1:11">
      <c r="A191" s="51" t="s">
        <v>285</v>
      </c>
      <c r="B191" s="49" t="s">
        <v>274</v>
      </c>
      <c r="C191" s="77" t="s">
        <v>282</v>
      </c>
      <c r="D191" s="51" t="s">
        <v>278</v>
      </c>
      <c r="E191" s="51" t="s">
        <v>288</v>
      </c>
      <c r="F191" s="51" t="s">
        <v>86</v>
      </c>
      <c r="G191" s="52">
        <v>2</v>
      </c>
      <c r="H191" s="53">
        <f t="shared" si="20"/>
        <v>46458</v>
      </c>
      <c r="I191" s="53">
        <f t="shared" si="23"/>
        <v>46462</v>
      </c>
      <c r="J191" s="54">
        <f>G191/$N$4</f>
        <v>2</v>
      </c>
      <c r="K191" s="102" t="s">
        <v>22</v>
      </c>
    </row>
    <row r="192" spans="1:11">
      <c r="A192" s="51" t="s">
        <v>289</v>
      </c>
      <c r="B192" s="49" t="s">
        <v>274</v>
      </c>
      <c r="C192" s="77" t="s">
        <v>290</v>
      </c>
      <c r="D192" s="51" t="s">
        <v>46</v>
      </c>
      <c r="E192" s="51" t="s">
        <v>291</v>
      </c>
      <c r="F192" s="51" t="s">
        <v>18</v>
      </c>
      <c r="G192" s="52">
        <v>1</v>
      </c>
      <c r="H192" s="53">
        <v>46447</v>
      </c>
      <c r="I192" s="53">
        <f t="shared" si="23"/>
        <v>46448</v>
      </c>
      <c r="J192" s="54">
        <f>G192/$N$4</f>
        <v>1</v>
      </c>
      <c r="K192" s="102" t="s">
        <v>22</v>
      </c>
    </row>
    <row r="193" spans="1:11">
      <c r="A193" s="51" t="s">
        <v>289</v>
      </c>
      <c r="B193" s="49" t="s">
        <v>274</v>
      </c>
      <c r="C193" s="77" t="s">
        <v>290</v>
      </c>
      <c r="D193" s="51" t="s">
        <v>46</v>
      </c>
      <c r="E193" s="51" t="s">
        <v>292</v>
      </c>
      <c r="F193" s="51" t="s">
        <v>18</v>
      </c>
      <c r="G193" s="52">
        <v>1</v>
      </c>
      <c r="H193" s="53">
        <f t="shared" si="20"/>
        <v>46449</v>
      </c>
      <c r="I193" s="53">
        <f t="shared" si="23"/>
        <v>46450</v>
      </c>
      <c r="J193" s="54">
        <f t="shared" ref="J193:J216" si="24">G193/$N$4</f>
        <v>1</v>
      </c>
      <c r="K193" s="102" t="s">
        <v>22</v>
      </c>
    </row>
    <row r="194" spans="1:11">
      <c r="A194" s="51" t="s">
        <v>289</v>
      </c>
      <c r="B194" s="49" t="s">
        <v>274</v>
      </c>
      <c r="C194" s="77" t="s">
        <v>290</v>
      </c>
      <c r="D194" s="51" t="s">
        <v>50</v>
      </c>
      <c r="E194" s="51" t="s">
        <v>293</v>
      </c>
      <c r="F194" s="51" t="s">
        <v>62</v>
      </c>
      <c r="G194" s="52">
        <v>1</v>
      </c>
      <c r="H194" s="53">
        <f t="shared" si="20"/>
        <v>46451</v>
      </c>
      <c r="I194" s="53">
        <f t="shared" si="23"/>
        <v>46454</v>
      </c>
      <c r="J194" s="54">
        <f t="shared" si="24"/>
        <v>1</v>
      </c>
      <c r="K194" s="102" t="s">
        <v>22</v>
      </c>
    </row>
    <row r="195" spans="1:11">
      <c r="A195" s="51" t="s">
        <v>289</v>
      </c>
      <c r="B195" s="49" t="s">
        <v>274</v>
      </c>
      <c r="C195" s="77" t="s">
        <v>290</v>
      </c>
      <c r="D195" s="51" t="s">
        <v>50</v>
      </c>
      <c r="E195" s="51" t="s">
        <v>294</v>
      </c>
      <c r="F195" s="51" t="s">
        <v>18</v>
      </c>
      <c r="G195" s="52">
        <v>3</v>
      </c>
      <c r="H195" s="53">
        <f>WORKDAY(I193,1)</f>
        <v>46451</v>
      </c>
      <c r="I195" s="53">
        <f t="shared" si="23"/>
        <v>46456</v>
      </c>
      <c r="J195" s="54">
        <f t="shared" si="24"/>
        <v>3</v>
      </c>
      <c r="K195" s="102" t="s">
        <v>22</v>
      </c>
    </row>
    <row r="196" spans="1:11">
      <c r="A196" s="51" t="s">
        <v>295</v>
      </c>
      <c r="B196" s="49" t="s">
        <v>274</v>
      </c>
      <c r="C196" s="77" t="s">
        <v>290</v>
      </c>
      <c r="D196" s="51" t="s">
        <v>278</v>
      </c>
      <c r="E196" s="51" t="s">
        <v>296</v>
      </c>
      <c r="F196" s="51" t="s">
        <v>18</v>
      </c>
      <c r="G196" s="52">
        <v>1</v>
      </c>
      <c r="H196" s="53">
        <f t="shared" si="20"/>
        <v>46457</v>
      </c>
      <c r="I196" s="53">
        <f t="shared" si="23"/>
        <v>46458</v>
      </c>
      <c r="J196" s="54">
        <f t="shared" si="24"/>
        <v>1</v>
      </c>
      <c r="K196" s="102" t="s">
        <v>22</v>
      </c>
    </row>
    <row r="197" spans="1:11">
      <c r="A197" s="51" t="s">
        <v>295</v>
      </c>
      <c r="B197" s="49" t="s">
        <v>274</v>
      </c>
      <c r="C197" s="77" t="s">
        <v>297</v>
      </c>
      <c r="D197" s="51" t="s">
        <v>46</v>
      </c>
      <c r="E197" s="51" t="s">
        <v>298</v>
      </c>
      <c r="F197" s="51" t="s">
        <v>86</v>
      </c>
      <c r="G197" s="52">
        <v>1</v>
      </c>
      <c r="H197" s="53">
        <f>WORKDAY(I191,1)</f>
        <v>46463</v>
      </c>
      <c r="I197" s="53">
        <f t="shared" si="23"/>
        <v>46464</v>
      </c>
      <c r="J197" s="54">
        <f t="shared" si="24"/>
        <v>1</v>
      </c>
      <c r="K197" s="102" t="s">
        <v>22</v>
      </c>
    </row>
    <row r="198" spans="1:11">
      <c r="A198" s="51" t="s">
        <v>295</v>
      </c>
      <c r="B198" s="49" t="s">
        <v>274</v>
      </c>
      <c r="C198" s="77" t="s">
        <v>297</v>
      </c>
      <c r="D198" s="51" t="s">
        <v>46</v>
      </c>
      <c r="E198" s="51" t="s">
        <v>299</v>
      </c>
      <c r="F198" s="51" t="s">
        <v>86</v>
      </c>
      <c r="G198" s="52">
        <v>1</v>
      </c>
      <c r="H198" s="53">
        <f t="shared" si="20"/>
        <v>46465</v>
      </c>
      <c r="I198" s="53">
        <f t="shared" si="23"/>
        <v>46468</v>
      </c>
      <c r="J198" s="54">
        <f t="shared" si="24"/>
        <v>1</v>
      </c>
      <c r="K198" s="102" t="s">
        <v>22</v>
      </c>
    </row>
    <row r="199" spans="1:11">
      <c r="A199" s="51" t="s">
        <v>295</v>
      </c>
      <c r="B199" s="49" t="s">
        <v>274</v>
      </c>
      <c r="C199" s="77" t="s">
        <v>297</v>
      </c>
      <c r="D199" s="51" t="s">
        <v>50</v>
      </c>
      <c r="E199" s="51" t="s">
        <v>300</v>
      </c>
      <c r="F199" s="51" t="s">
        <v>62</v>
      </c>
      <c r="G199" s="52">
        <v>2</v>
      </c>
      <c r="H199" s="53">
        <f>WORKDAY(I198,1)</f>
        <v>46469</v>
      </c>
      <c r="I199" s="53">
        <f>WORKDAY(H199,J199)</f>
        <v>46471</v>
      </c>
      <c r="J199" s="54">
        <f t="shared" si="24"/>
        <v>2</v>
      </c>
      <c r="K199" s="102" t="s">
        <v>22</v>
      </c>
    </row>
    <row r="200" spans="1:11">
      <c r="A200" s="51" t="s">
        <v>295</v>
      </c>
      <c r="B200" s="49" t="s">
        <v>274</v>
      </c>
      <c r="C200" s="77" t="s">
        <v>297</v>
      </c>
      <c r="D200" s="51" t="s">
        <v>50</v>
      </c>
      <c r="E200" s="51" t="s">
        <v>301</v>
      </c>
      <c r="F200" s="51" t="s">
        <v>86</v>
      </c>
      <c r="G200" s="52">
        <v>2</v>
      </c>
      <c r="H200" s="53">
        <f>WORKDAY(I198,1)</f>
        <v>46469</v>
      </c>
      <c r="I200" s="53">
        <f t="shared" si="23"/>
        <v>46471</v>
      </c>
      <c r="J200" s="54">
        <f t="shared" si="24"/>
        <v>2</v>
      </c>
      <c r="K200" s="102" t="s">
        <v>22</v>
      </c>
    </row>
    <row r="201" spans="1:11">
      <c r="A201" s="51" t="s">
        <v>302</v>
      </c>
      <c r="B201" s="49" t="s">
        <v>274</v>
      </c>
      <c r="C201" s="77" t="s">
        <v>297</v>
      </c>
      <c r="D201" s="51" t="s">
        <v>278</v>
      </c>
      <c r="E201" s="51" t="s">
        <v>303</v>
      </c>
      <c r="F201" s="51" t="s">
        <v>86</v>
      </c>
      <c r="G201" s="52">
        <v>1</v>
      </c>
      <c r="H201" s="53">
        <f t="shared" si="20"/>
        <v>46472</v>
      </c>
      <c r="I201" s="53">
        <f t="shared" si="23"/>
        <v>46475</v>
      </c>
      <c r="J201" s="54">
        <f t="shared" si="24"/>
        <v>1</v>
      </c>
      <c r="K201" s="102" t="s">
        <v>22</v>
      </c>
    </row>
    <row r="202" spans="1:11">
      <c r="A202" s="51" t="s">
        <v>302</v>
      </c>
      <c r="B202" s="49" t="s">
        <v>274</v>
      </c>
      <c r="C202" s="77" t="s">
        <v>304</v>
      </c>
      <c r="D202" s="51" t="s">
        <v>46</v>
      </c>
      <c r="E202" s="51" t="s">
        <v>305</v>
      </c>
      <c r="F202" s="51" t="s">
        <v>18</v>
      </c>
      <c r="G202" s="52">
        <v>1</v>
      </c>
      <c r="H202" s="53">
        <f>WORKDAY(I196,1)</f>
        <v>46461</v>
      </c>
      <c r="I202" s="53">
        <f t="shared" si="23"/>
        <v>46462</v>
      </c>
      <c r="J202" s="54">
        <f t="shared" si="24"/>
        <v>1</v>
      </c>
      <c r="K202" s="102" t="s">
        <v>22</v>
      </c>
    </row>
    <row r="203" spans="1:11">
      <c r="A203" s="51" t="s">
        <v>302</v>
      </c>
      <c r="B203" s="49" t="s">
        <v>274</v>
      </c>
      <c r="C203" s="77" t="s">
        <v>304</v>
      </c>
      <c r="D203" s="51" t="s">
        <v>46</v>
      </c>
      <c r="E203" s="51" t="s">
        <v>306</v>
      </c>
      <c r="F203" s="51" t="s">
        <v>18</v>
      </c>
      <c r="G203" s="52">
        <v>1</v>
      </c>
      <c r="H203" s="53">
        <f>WORKDAY(I202,1)</f>
        <v>46463</v>
      </c>
      <c r="I203" s="53">
        <f t="shared" si="23"/>
        <v>46464</v>
      </c>
      <c r="J203" s="54">
        <f t="shared" si="24"/>
        <v>1</v>
      </c>
      <c r="K203" s="102" t="s">
        <v>22</v>
      </c>
    </row>
    <row r="204" spans="1:11">
      <c r="A204" s="51" t="s">
        <v>302</v>
      </c>
      <c r="B204" s="49" t="s">
        <v>274</v>
      </c>
      <c r="C204" s="77" t="s">
        <v>304</v>
      </c>
      <c r="D204" s="51" t="s">
        <v>50</v>
      </c>
      <c r="E204" s="51" t="s">
        <v>307</v>
      </c>
      <c r="F204" s="51" t="s">
        <v>62</v>
      </c>
      <c r="G204" s="52">
        <v>1</v>
      </c>
      <c r="H204" s="53">
        <f>WORKDAY(I203,1)</f>
        <v>46465</v>
      </c>
      <c r="I204" s="53">
        <f t="shared" si="23"/>
        <v>46468</v>
      </c>
      <c r="J204" s="54">
        <f t="shared" si="24"/>
        <v>1</v>
      </c>
      <c r="K204" s="102" t="s">
        <v>22</v>
      </c>
    </row>
    <row r="205" spans="1:11">
      <c r="A205" s="51" t="s">
        <v>302</v>
      </c>
      <c r="B205" s="49" t="s">
        <v>274</v>
      </c>
      <c r="C205" s="77" t="s">
        <v>304</v>
      </c>
      <c r="D205" s="51" t="s">
        <v>50</v>
      </c>
      <c r="E205" s="51" t="s">
        <v>308</v>
      </c>
      <c r="F205" s="51" t="s">
        <v>18</v>
      </c>
      <c r="G205" s="52">
        <v>1</v>
      </c>
      <c r="H205" s="53">
        <f>WORKDAY(I203,1)</f>
        <v>46465</v>
      </c>
      <c r="I205" s="53">
        <f t="shared" si="23"/>
        <v>46468</v>
      </c>
      <c r="J205" s="54">
        <f t="shared" si="24"/>
        <v>1</v>
      </c>
      <c r="K205" s="102" t="s">
        <v>22</v>
      </c>
    </row>
    <row r="206" spans="1:11">
      <c r="A206" s="51" t="s">
        <v>302</v>
      </c>
      <c r="B206" s="49" t="s">
        <v>274</v>
      </c>
      <c r="C206" s="77" t="s">
        <v>304</v>
      </c>
      <c r="D206" s="51" t="s">
        <v>278</v>
      </c>
      <c r="E206" s="51" t="s">
        <v>309</v>
      </c>
      <c r="F206" s="51" t="s">
        <v>18</v>
      </c>
      <c r="G206" s="52">
        <v>1</v>
      </c>
      <c r="H206" s="53">
        <f>WORKDAY(I205,1)</f>
        <v>46469</v>
      </c>
      <c r="I206" s="53">
        <f>WORKDAY(H206,J206)</f>
        <v>46470</v>
      </c>
      <c r="J206" s="54">
        <f t="shared" si="24"/>
        <v>1</v>
      </c>
      <c r="K206" s="102" t="s">
        <v>22</v>
      </c>
    </row>
    <row r="207" spans="1:11">
      <c r="A207" s="51" t="s">
        <v>302</v>
      </c>
      <c r="B207" s="49" t="s">
        <v>274</v>
      </c>
      <c r="C207" s="77" t="s">
        <v>310</v>
      </c>
      <c r="D207" s="51" t="s">
        <v>46</v>
      </c>
      <c r="E207" s="51" t="s">
        <v>311</v>
      </c>
      <c r="F207" s="51" t="s">
        <v>86</v>
      </c>
      <c r="G207" s="52">
        <v>1</v>
      </c>
      <c r="H207" s="53">
        <f>WORKDAY(I201,1)</f>
        <v>46476</v>
      </c>
      <c r="I207" s="53">
        <f t="shared" si="23"/>
        <v>46477</v>
      </c>
      <c r="J207" s="54">
        <f t="shared" si="24"/>
        <v>1</v>
      </c>
      <c r="K207" s="102" t="s">
        <v>22</v>
      </c>
    </row>
    <row r="208" spans="1:11">
      <c r="A208" s="51" t="s">
        <v>302</v>
      </c>
      <c r="B208" s="49" t="s">
        <v>274</v>
      </c>
      <c r="C208" s="77" t="s">
        <v>310</v>
      </c>
      <c r="D208" s="51" t="s">
        <v>46</v>
      </c>
      <c r="E208" s="51" t="s">
        <v>312</v>
      </c>
      <c r="F208" s="51" t="s">
        <v>86</v>
      </c>
      <c r="G208" s="52">
        <v>1</v>
      </c>
      <c r="H208" s="53">
        <f>WORKDAY(I207,1)</f>
        <v>46478</v>
      </c>
      <c r="I208" s="53">
        <f t="shared" si="23"/>
        <v>46479</v>
      </c>
      <c r="J208" s="54">
        <f t="shared" si="24"/>
        <v>1</v>
      </c>
      <c r="K208" s="102" t="s">
        <v>22</v>
      </c>
    </row>
    <row r="209" spans="1:13">
      <c r="A209" s="51" t="s">
        <v>302</v>
      </c>
      <c r="B209" s="49" t="s">
        <v>274</v>
      </c>
      <c r="C209" s="77" t="s">
        <v>310</v>
      </c>
      <c r="D209" s="51" t="s">
        <v>50</v>
      </c>
      <c r="E209" s="51" t="s">
        <v>313</v>
      </c>
      <c r="F209" s="51" t="s">
        <v>62</v>
      </c>
      <c r="G209" s="52">
        <v>1</v>
      </c>
      <c r="H209" s="53">
        <f>WORKDAY(I208,1)</f>
        <v>46482</v>
      </c>
      <c r="I209" s="53">
        <f t="shared" si="23"/>
        <v>46483</v>
      </c>
      <c r="J209" s="54">
        <f t="shared" si="24"/>
        <v>1</v>
      </c>
      <c r="K209" s="102" t="s">
        <v>22</v>
      </c>
    </row>
    <row r="210" spans="1:13">
      <c r="A210" s="51" t="s">
        <v>314</v>
      </c>
      <c r="B210" s="49" t="s">
        <v>274</v>
      </c>
      <c r="C210" s="77" t="s">
        <v>310</v>
      </c>
      <c r="D210" s="51" t="s">
        <v>50</v>
      </c>
      <c r="E210" s="51" t="s">
        <v>315</v>
      </c>
      <c r="F210" s="51" t="s">
        <v>86</v>
      </c>
      <c r="G210" s="52">
        <v>1</v>
      </c>
      <c r="H210" s="53">
        <f>WORKDAY(I208,1)</f>
        <v>46482</v>
      </c>
      <c r="I210" s="53">
        <f t="shared" si="23"/>
        <v>46483</v>
      </c>
      <c r="J210" s="54">
        <f t="shared" si="24"/>
        <v>1</v>
      </c>
      <c r="K210" s="102" t="s">
        <v>22</v>
      </c>
    </row>
    <row r="211" spans="1:13">
      <c r="A211" s="51" t="s">
        <v>314</v>
      </c>
      <c r="B211" s="49" t="s">
        <v>274</v>
      </c>
      <c r="C211" s="77" t="s">
        <v>310</v>
      </c>
      <c r="D211" s="51" t="s">
        <v>278</v>
      </c>
      <c r="E211" s="51" t="s">
        <v>316</v>
      </c>
      <c r="F211" s="51" t="s">
        <v>86</v>
      </c>
      <c r="G211" s="52">
        <v>1</v>
      </c>
      <c r="H211" s="53">
        <f>WORKDAY(I210,1)</f>
        <v>46484</v>
      </c>
      <c r="I211" s="53">
        <f t="shared" si="23"/>
        <v>46485</v>
      </c>
      <c r="J211" s="54">
        <f t="shared" si="24"/>
        <v>1</v>
      </c>
      <c r="K211" s="102" t="s">
        <v>22</v>
      </c>
    </row>
    <row r="212" spans="1:13">
      <c r="A212" s="51" t="s">
        <v>314</v>
      </c>
      <c r="B212" s="49" t="s">
        <v>274</v>
      </c>
      <c r="C212" s="77" t="s">
        <v>317</v>
      </c>
      <c r="D212" s="51" t="s">
        <v>46</v>
      </c>
      <c r="E212" s="51" t="s">
        <v>318</v>
      </c>
      <c r="F212" s="51" t="s">
        <v>18</v>
      </c>
      <c r="G212" s="52">
        <v>1</v>
      </c>
      <c r="H212" s="53">
        <f>WORKDAY(I206,1)</f>
        <v>46471</v>
      </c>
      <c r="I212" s="53">
        <f t="shared" si="23"/>
        <v>46472</v>
      </c>
      <c r="J212" s="54">
        <f t="shared" si="24"/>
        <v>1</v>
      </c>
      <c r="K212" s="102" t="s">
        <v>22</v>
      </c>
    </row>
    <row r="213" spans="1:13">
      <c r="A213" s="51" t="s">
        <v>314</v>
      </c>
      <c r="B213" s="49" t="s">
        <v>274</v>
      </c>
      <c r="C213" s="77" t="s">
        <v>317</v>
      </c>
      <c r="D213" s="51" t="s">
        <v>46</v>
      </c>
      <c r="E213" s="51" t="s">
        <v>319</v>
      </c>
      <c r="F213" s="51" t="s">
        <v>18</v>
      </c>
      <c r="G213" s="52">
        <v>1</v>
      </c>
      <c r="H213" s="53">
        <f>WORKDAY(I212,1)</f>
        <v>46475</v>
      </c>
      <c r="I213" s="53">
        <f t="shared" si="23"/>
        <v>46476</v>
      </c>
      <c r="J213" s="54">
        <f t="shared" si="24"/>
        <v>1</v>
      </c>
      <c r="K213" s="102" t="s">
        <v>22</v>
      </c>
    </row>
    <row r="214" spans="1:13">
      <c r="A214" s="51" t="s">
        <v>314</v>
      </c>
      <c r="B214" s="49" t="s">
        <v>274</v>
      </c>
      <c r="C214" s="77" t="s">
        <v>317</v>
      </c>
      <c r="D214" s="51" t="s">
        <v>50</v>
      </c>
      <c r="E214" s="51" t="s">
        <v>320</v>
      </c>
      <c r="F214" s="51" t="s">
        <v>62</v>
      </c>
      <c r="G214" s="52">
        <v>2</v>
      </c>
      <c r="H214" s="53">
        <f>WORKDAY(I213,1)</f>
        <v>46477</v>
      </c>
      <c r="I214" s="53">
        <f t="shared" si="23"/>
        <v>46479</v>
      </c>
      <c r="J214" s="54">
        <f t="shared" si="24"/>
        <v>2</v>
      </c>
      <c r="K214" s="102" t="s">
        <v>22</v>
      </c>
    </row>
    <row r="215" spans="1:13">
      <c r="A215" s="51" t="s">
        <v>314</v>
      </c>
      <c r="B215" s="49" t="s">
        <v>274</v>
      </c>
      <c r="C215" s="77" t="s">
        <v>317</v>
      </c>
      <c r="D215" s="51" t="s">
        <v>50</v>
      </c>
      <c r="E215" s="51" t="s">
        <v>321</v>
      </c>
      <c r="F215" s="51" t="s">
        <v>18</v>
      </c>
      <c r="G215" s="52">
        <v>3</v>
      </c>
      <c r="H215" s="53">
        <f>WORKDAY(I213,1)</f>
        <v>46477</v>
      </c>
      <c r="I215" s="53">
        <f t="shared" si="23"/>
        <v>46482</v>
      </c>
      <c r="J215" s="54">
        <f t="shared" si="24"/>
        <v>3</v>
      </c>
      <c r="K215" s="102" t="s">
        <v>22</v>
      </c>
    </row>
    <row r="216" spans="1:13">
      <c r="A216" s="51" t="s">
        <v>314</v>
      </c>
      <c r="B216" s="49" t="s">
        <v>274</v>
      </c>
      <c r="C216" s="77" t="s">
        <v>317</v>
      </c>
      <c r="D216" s="51" t="s">
        <v>278</v>
      </c>
      <c r="E216" s="51" t="s">
        <v>322</v>
      </c>
      <c r="F216" s="51" t="s">
        <v>18</v>
      </c>
      <c r="G216" s="52">
        <v>1</v>
      </c>
      <c r="H216" s="53">
        <f>WORKDAY(I215,1)</f>
        <v>46483</v>
      </c>
      <c r="I216" s="53">
        <f t="shared" si="23"/>
        <v>46484</v>
      </c>
      <c r="J216" s="54">
        <f t="shared" si="24"/>
        <v>1</v>
      </c>
      <c r="K216" s="102" t="s">
        <v>22</v>
      </c>
      <c r="M216" s="53"/>
    </row>
    <row r="217" spans="1:13">
      <c r="A217" s="51" t="s">
        <v>323</v>
      </c>
      <c r="B217" s="49" t="s">
        <v>274</v>
      </c>
      <c r="C217" s="77" t="s">
        <v>324</v>
      </c>
      <c r="D217" s="51" t="s">
        <v>325</v>
      </c>
      <c r="F217" s="51" t="s">
        <v>86</v>
      </c>
      <c r="G217" s="52"/>
      <c r="H217" s="53">
        <f>I216</f>
        <v>46484</v>
      </c>
      <c r="I217" s="101">
        <v>46507</v>
      </c>
      <c r="K217" s="102" t="s">
        <v>22</v>
      </c>
    </row>
  </sheetData>
  <autoFilter ref="A11:N216" xr:uid="{34BB96A7-53BD-4507-B62C-6AD24A499E83}"/>
  <mergeCells count="3">
    <mergeCell ref="C1:K1"/>
    <mergeCell ref="I3:I4"/>
    <mergeCell ref="I5:I6"/>
  </mergeCells>
  <phoneticPr fontId="1" type="noConversion"/>
  <dataValidations count="1">
    <dataValidation type="list" allowBlank="1" showInputMessage="1" showErrorMessage="1" sqref="K12:K217" xr:uid="{8225834B-CC12-4039-A148-D754B53B950D}">
      <formula1>"Not Started,In progress,Completed"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779A-885C-4BD0-B97F-CAFAE3E1D804}">
  <sheetPr>
    <tabColor theme="7" tint="0.59999389629810485"/>
  </sheetPr>
  <dimension ref="A1:U40"/>
  <sheetViews>
    <sheetView workbookViewId="0">
      <selection activeCell="C5" sqref="C5"/>
    </sheetView>
  </sheetViews>
  <sheetFormatPr defaultRowHeight="15.75"/>
  <cols>
    <col min="1" max="1" width="10.5703125" bestFit="1" customWidth="1"/>
    <col min="2" max="2" width="34.28515625" bestFit="1" customWidth="1"/>
    <col min="3" max="3" width="50" bestFit="1" customWidth="1"/>
    <col min="4" max="4" width="14" bestFit="1" customWidth="1"/>
    <col min="5" max="5" width="57.85546875" customWidth="1"/>
    <col min="6" max="6" width="18.140625" customWidth="1"/>
    <col min="7" max="7" width="15.140625" customWidth="1"/>
    <col min="8" max="8" width="17.42578125" customWidth="1"/>
    <col min="9" max="9" width="10.140625" bestFit="1" customWidth="1"/>
    <col min="10" max="10" width="10.42578125" bestFit="1" customWidth="1"/>
    <col min="11" max="11" width="11.42578125" customWidth="1"/>
    <col min="12" max="12" width="10.42578125" bestFit="1" customWidth="1"/>
    <col min="16" max="16" width="13.28515625" customWidth="1"/>
    <col min="17" max="17" width="14.28515625" customWidth="1"/>
  </cols>
  <sheetData>
    <row r="1" spans="1:21" s="46" customFormat="1" ht="24" customHeight="1">
      <c r="B1" s="63"/>
      <c r="C1" s="119" t="s">
        <v>326</v>
      </c>
      <c r="D1" s="119"/>
      <c r="E1" s="119"/>
      <c r="F1" s="119"/>
      <c r="G1" s="119"/>
      <c r="H1" s="119"/>
      <c r="I1" s="119"/>
      <c r="J1" s="119"/>
      <c r="K1" s="119"/>
      <c r="L1" s="119"/>
    </row>
    <row r="2" spans="1:21" s="46" customFormat="1" ht="5.25" customHeight="1" thickBot="1">
      <c r="B2" s="64"/>
      <c r="C2" s="65"/>
      <c r="D2" s="65"/>
      <c r="E2" s="65"/>
      <c r="F2" s="111"/>
      <c r="G2" s="65"/>
      <c r="H2" s="65"/>
      <c r="I2" s="65"/>
      <c r="J2" s="65"/>
      <c r="K2" s="65"/>
      <c r="L2" s="65"/>
      <c r="M2" s="66"/>
      <c r="N2" s="66"/>
      <c r="O2" s="66"/>
      <c r="P2" s="66"/>
    </row>
    <row r="3" spans="1:21" s="46" customFormat="1" ht="14.45" customHeight="1">
      <c r="B3" s="67" t="s">
        <v>6</v>
      </c>
      <c r="C3" s="68">
        <f>COUNTA(E17:E1048576)</f>
        <v>23</v>
      </c>
      <c r="D3" s="68"/>
      <c r="E3" s="45"/>
      <c r="F3" s="45"/>
      <c r="G3" s="69" t="s">
        <v>7</v>
      </c>
      <c r="H3" s="70">
        <f>H5-H4+1</f>
        <v>61</v>
      </c>
      <c r="I3" s="45"/>
      <c r="J3" s="120" t="s">
        <v>8</v>
      </c>
      <c r="K3" s="45"/>
    </row>
    <row r="4" spans="1:21" s="46" customFormat="1" ht="14.45" customHeight="1">
      <c r="B4" s="71" t="s">
        <v>9</v>
      </c>
      <c r="C4" s="72">
        <f>COUNTIF(L17:L1048576,B4)</f>
        <v>0</v>
      </c>
      <c r="D4" s="72"/>
      <c r="E4" s="45"/>
      <c r="F4" s="45"/>
      <c r="G4" s="73" t="s">
        <v>10</v>
      </c>
      <c r="H4" s="74">
        <f>MIN(I11:I1048576)</f>
        <v>46447</v>
      </c>
      <c r="I4" s="45"/>
      <c r="J4" s="121"/>
      <c r="K4" s="45"/>
      <c r="L4" s="89">
        <f>SUM(H11:H16)</f>
        <v>12</v>
      </c>
      <c r="N4" s="60" t="s">
        <v>11</v>
      </c>
      <c r="O4" s="50" t="s">
        <v>12</v>
      </c>
      <c r="P4" s="46" t="s">
        <v>13</v>
      </c>
      <c r="T4" s="106" t="s">
        <v>14</v>
      </c>
      <c r="U4" s="106" t="s">
        <v>15</v>
      </c>
    </row>
    <row r="5" spans="1:21" s="46" customFormat="1" ht="14.45" customHeight="1">
      <c r="B5" s="71" t="s">
        <v>16</v>
      </c>
      <c r="C5" s="72">
        <f>COUNTIF(L17:L1048576,B5)</f>
        <v>0</v>
      </c>
      <c r="D5" s="72"/>
      <c r="E5" s="45"/>
      <c r="F5" s="45"/>
      <c r="G5" s="73" t="s">
        <v>17</v>
      </c>
      <c r="H5" s="74">
        <f>MAX(J11:J1048576)</f>
        <v>46507</v>
      </c>
      <c r="I5" s="45"/>
      <c r="J5" s="122"/>
      <c r="K5" s="45"/>
      <c r="L5" s="89">
        <f>SUM(H11:H215)</f>
        <v>52</v>
      </c>
      <c r="N5" s="56" t="s">
        <v>18</v>
      </c>
      <c r="O5" s="57">
        <v>1</v>
      </c>
      <c r="Q5" s="46" t="s">
        <v>19</v>
      </c>
      <c r="T5" s="103" t="s">
        <v>20</v>
      </c>
      <c r="U5" s="104" t="s">
        <v>21</v>
      </c>
    </row>
    <row r="6" spans="1:21" s="46" customFormat="1" ht="14.45" customHeight="1">
      <c r="B6" s="71" t="s">
        <v>22</v>
      </c>
      <c r="C6" s="72">
        <f>COUNTIF(L17:L1048576,B6)</f>
        <v>24</v>
      </c>
      <c r="D6" s="72"/>
      <c r="E6" s="45"/>
      <c r="F6" s="45"/>
      <c r="G6" s="73"/>
      <c r="H6" s="75"/>
      <c r="I6" s="45"/>
      <c r="J6" s="122"/>
      <c r="K6" s="45"/>
      <c r="N6" s="94" t="s">
        <v>23</v>
      </c>
      <c r="O6" s="57">
        <v>1</v>
      </c>
      <c r="P6" s="99">
        <f>145000*1.05</f>
        <v>152250</v>
      </c>
      <c r="Q6" s="99">
        <f>P6*12</f>
        <v>1827000</v>
      </c>
      <c r="T6" s="103" t="s">
        <v>24</v>
      </c>
      <c r="U6" s="105" t="s">
        <v>25</v>
      </c>
    </row>
    <row r="7" spans="1:21" s="46" customFormat="1" ht="14.45" customHeight="1">
      <c r="B7" s="44"/>
      <c r="C7" s="44"/>
      <c r="D7" s="123" t="s">
        <v>26</v>
      </c>
      <c r="E7" s="124"/>
      <c r="F7" s="124"/>
      <c r="G7" s="123"/>
      <c r="H7" s="100" t="s">
        <v>27</v>
      </c>
      <c r="I7" s="45"/>
      <c r="J7" s="76">
        <f>1-J5</f>
        <v>1</v>
      </c>
      <c r="K7" s="45"/>
      <c r="L7" s="90"/>
      <c r="N7" s="96" t="s">
        <v>28</v>
      </c>
      <c r="O7" s="57">
        <v>1</v>
      </c>
      <c r="Q7" s="46" t="s">
        <v>29</v>
      </c>
      <c r="T7" s="103" t="s">
        <v>30</v>
      </c>
      <c r="U7" s="104" t="s">
        <v>31</v>
      </c>
    </row>
    <row r="8" spans="1:21" s="46" customFormat="1" ht="15">
      <c r="B8" s="44"/>
      <c r="C8" s="44"/>
      <c r="D8" s="44"/>
      <c r="E8" s="45"/>
      <c r="F8" s="45"/>
      <c r="G8" s="45"/>
      <c r="H8" s="45"/>
      <c r="I8" s="45"/>
      <c r="J8" s="76"/>
      <c r="K8" s="45"/>
      <c r="L8" s="90"/>
      <c r="N8" s="94" t="s">
        <v>32</v>
      </c>
      <c r="O8" s="57">
        <v>1</v>
      </c>
      <c r="P8" s="99">
        <f>145000*1.05</f>
        <v>152250</v>
      </c>
      <c r="Q8" s="99">
        <f>P8*12</f>
        <v>1827000</v>
      </c>
      <c r="T8" s="45"/>
    </row>
    <row r="9" spans="1:21">
      <c r="A9" s="47" t="s">
        <v>34</v>
      </c>
      <c r="B9" s="47" t="s">
        <v>35</v>
      </c>
      <c r="C9" s="47" t="s">
        <v>36</v>
      </c>
      <c r="D9" s="47" t="s">
        <v>37</v>
      </c>
      <c r="E9" s="47" t="s">
        <v>38</v>
      </c>
      <c r="F9" s="112" t="s">
        <v>39</v>
      </c>
      <c r="G9" s="47" t="s">
        <v>40</v>
      </c>
      <c r="H9" s="59" t="s">
        <v>41</v>
      </c>
      <c r="I9" s="48" t="s">
        <v>10</v>
      </c>
      <c r="J9" s="48" t="s">
        <v>17</v>
      </c>
      <c r="K9" s="48" t="s">
        <v>7</v>
      </c>
      <c r="L9" s="48" t="s">
        <v>42</v>
      </c>
    </row>
    <row r="10" spans="1:21">
      <c r="A10" s="51" t="s">
        <v>268</v>
      </c>
      <c r="B10" s="49" t="s">
        <v>274</v>
      </c>
      <c r="C10" s="77" t="s">
        <v>282</v>
      </c>
      <c r="D10" s="51" t="s">
        <v>46</v>
      </c>
      <c r="E10" s="51" t="s">
        <v>283</v>
      </c>
      <c r="F10" s="45" t="s">
        <v>327</v>
      </c>
      <c r="G10" s="51" t="s">
        <v>57</v>
      </c>
      <c r="H10" s="52">
        <v>1</v>
      </c>
      <c r="I10" s="53">
        <v>46447</v>
      </c>
      <c r="J10" s="53">
        <v>46447</v>
      </c>
      <c r="K10" s="54">
        <v>1</v>
      </c>
      <c r="L10" s="102" t="s">
        <v>22</v>
      </c>
    </row>
    <row r="11" spans="1:21">
      <c r="A11" s="51" t="s">
        <v>268</v>
      </c>
      <c r="B11" s="49" t="s">
        <v>274</v>
      </c>
      <c r="C11" s="77" t="s">
        <v>282</v>
      </c>
      <c r="D11" s="51" t="s">
        <v>46</v>
      </c>
      <c r="E11" s="51" t="s">
        <v>284</v>
      </c>
      <c r="F11" s="45" t="s">
        <v>327</v>
      </c>
      <c r="G11" s="51" t="s">
        <v>57</v>
      </c>
      <c r="H11" s="52">
        <v>1</v>
      </c>
      <c r="I11" s="53">
        <v>46448</v>
      </c>
      <c r="J11" s="53">
        <v>46448</v>
      </c>
      <c r="K11" s="54">
        <v>1</v>
      </c>
      <c r="L11" s="102" t="s">
        <v>22</v>
      </c>
    </row>
    <row r="12" spans="1:21">
      <c r="A12" s="51" t="s">
        <v>285</v>
      </c>
      <c r="B12" s="49" t="s">
        <v>274</v>
      </c>
      <c r="C12" s="77" t="s">
        <v>282</v>
      </c>
      <c r="D12" s="51" t="s">
        <v>50</v>
      </c>
      <c r="E12" s="51" t="s">
        <v>286</v>
      </c>
      <c r="F12" s="45" t="s">
        <v>328</v>
      </c>
      <c r="G12" s="51" t="s">
        <v>62</v>
      </c>
      <c r="H12" s="52">
        <v>3</v>
      </c>
      <c r="I12" s="53">
        <v>46449</v>
      </c>
      <c r="J12" s="53">
        <v>46451</v>
      </c>
      <c r="K12" s="54">
        <v>3</v>
      </c>
      <c r="L12" s="102" t="s">
        <v>22</v>
      </c>
    </row>
    <row r="13" spans="1:21">
      <c r="A13" s="51" t="s">
        <v>285</v>
      </c>
      <c r="B13" s="49" t="s">
        <v>274</v>
      </c>
      <c r="C13" s="77" t="s">
        <v>282</v>
      </c>
      <c r="D13" s="51" t="s">
        <v>50</v>
      </c>
      <c r="E13" s="51" t="s">
        <v>287</v>
      </c>
      <c r="F13" s="45" t="s">
        <v>328</v>
      </c>
      <c r="G13" s="51" t="s">
        <v>18</v>
      </c>
      <c r="H13" s="52">
        <v>4</v>
      </c>
      <c r="I13" s="53">
        <v>46449</v>
      </c>
      <c r="J13" s="53">
        <v>46454</v>
      </c>
      <c r="K13" s="54">
        <v>4</v>
      </c>
      <c r="L13" s="102" t="s">
        <v>22</v>
      </c>
    </row>
    <row r="14" spans="1:21">
      <c r="A14" s="51" t="s">
        <v>285</v>
      </c>
      <c r="B14" s="49" t="s">
        <v>274</v>
      </c>
      <c r="C14" s="77" t="s">
        <v>282</v>
      </c>
      <c r="D14" s="51" t="s">
        <v>55</v>
      </c>
      <c r="E14" s="51" t="s">
        <v>288</v>
      </c>
      <c r="F14" s="45" t="s">
        <v>327</v>
      </c>
      <c r="G14" s="51" t="s">
        <v>57</v>
      </c>
      <c r="H14" s="52">
        <v>2</v>
      </c>
      <c r="I14" s="53">
        <v>46455</v>
      </c>
      <c r="J14" s="53">
        <v>46456</v>
      </c>
      <c r="K14" s="54">
        <v>2</v>
      </c>
      <c r="L14" s="102" t="s">
        <v>22</v>
      </c>
    </row>
    <row r="15" spans="1:21">
      <c r="A15" s="51" t="s">
        <v>289</v>
      </c>
      <c r="B15" s="49" t="s">
        <v>274</v>
      </c>
      <c r="C15" s="77" t="s">
        <v>290</v>
      </c>
      <c r="D15" s="51" t="s">
        <v>46</v>
      </c>
      <c r="E15" s="51" t="s">
        <v>291</v>
      </c>
      <c r="F15" s="45" t="s">
        <v>327</v>
      </c>
      <c r="G15" s="51" t="s">
        <v>57</v>
      </c>
      <c r="H15" s="52">
        <v>1</v>
      </c>
      <c r="I15" s="53">
        <v>46447</v>
      </c>
      <c r="J15" s="53">
        <v>46447</v>
      </c>
      <c r="K15" s="54">
        <v>1</v>
      </c>
      <c r="L15" s="102" t="s">
        <v>22</v>
      </c>
    </row>
    <row r="16" spans="1:21">
      <c r="A16" s="51" t="s">
        <v>289</v>
      </c>
      <c r="B16" s="49" t="s">
        <v>274</v>
      </c>
      <c r="C16" s="77" t="s">
        <v>290</v>
      </c>
      <c r="D16" s="51" t="s">
        <v>46</v>
      </c>
      <c r="E16" s="51" t="s">
        <v>292</v>
      </c>
      <c r="F16" s="45" t="s">
        <v>327</v>
      </c>
      <c r="G16" s="51" t="s">
        <v>57</v>
      </c>
      <c r="H16" s="52">
        <v>1</v>
      </c>
      <c r="I16" s="53">
        <v>46448</v>
      </c>
      <c r="J16" s="53">
        <v>46448</v>
      </c>
      <c r="K16" s="54">
        <v>1</v>
      </c>
      <c r="L16" s="102" t="s">
        <v>22</v>
      </c>
    </row>
    <row r="17" spans="1:12">
      <c r="A17" s="51" t="s">
        <v>289</v>
      </c>
      <c r="B17" s="49" t="s">
        <v>329</v>
      </c>
      <c r="C17" s="77" t="s">
        <v>290</v>
      </c>
      <c r="D17" s="51" t="s">
        <v>50</v>
      </c>
      <c r="E17" s="51" t="s">
        <v>293</v>
      </c>
      <c r="F17" s="45" t="s">
        <v>327</v>
      </c>
      <c r="G17" s="51" t="s">
        <v>62</v>
      </c>
      <c r="H17" s="52">
        <v>2</v>
      </c>
      <c r="I17" s="53">
        <v>46449</v>
      </c>
      <c r="J17" s="53">
        <v>46450</v>
      </c>
      <c r="K17" s="54">
        <v>2</v>
      </c>
      <c r="L17" s="102" t="s">
        <v>22</v>
      </c>
    </row>
    <row r="18" spans="1:12">
      <c r="A18" s="51" t="s">
        <v>289</v>
      </c>
      <c r="B18" s="49" t="s">
        <v>274</v>
      </c>
      <c r="C18" s="77" t="s">
        <v>290</v>
      </c>
      <c r="D18" s="51" t="s">
        <v>50</v>
      </c>
      <c r="E18" s="51" t="s">
        <v>294</v>
      </c>
      <c r="F18" s="45" t="s">
        <v>328</v>
      </c>
      <c r="G18" s="51" t="s">
        <v>86</v>
      </c>
      <c r="H18" s="52">
        <v>5</v>
      </c>
      <c r="I18" s="53">
        <v>46449</v>
      </c>
      <c r="J18" s="53">
        <v>46455</v>
      </c>
      <c r="K18" s="54">
        <v>5</v>
      </c>
      <c r="L18" s="102" t="s">
        <v>22</v>
      </c>
    </row>
    <row r="19" spans="1:12">
      <c r="A19" s="51" t="s">
        <v>295</v>
      </c>
      <c r="B19" s="49" t="s">
        <v>274</v>
      </c>
      <c r="C19" s="77" t="s">
        <v>290</v>
      </c>
      <c r="D19" s="51" t="s">
        <v>55</v>
      </c>
      <c r="E19" s="51" t="s">
        <v>296</v>
      </c>
      <c r="F19" s="45" t="s">
        <v>327</v>
      </c>
      <c r="G19" s="51" t="s">
        <v>57</v>
      </c>
      <c r="H19" s="52">
        <v>1</v>
      </c>
      <c r="I19" s="53">
        <v>46456</v>
      </c>
      <c r="J19" s="53">
        <v>46456</v>
      </c>
      <c r="K19" s="54">
        <v>1</v>
      </c>
      <c r="L19" s="102" t="s">
        <v>22</v>
      </c>
    </row>
    <row r="20" spans="1:12">
      <c r="A20" s="51" t="s">
        <v>295</v>
      </c>
      <c r="B20" s="49" t="s">
        <v>274</v>
      </c>
      <c r="C20" s="77" t="s">
        <v>297</v>
      </c>
      <c r="D20" s="51" t="s">
        <v>46</v>
      </c>
      <c r="E20" s="51" t="s">
        <v>298</v>
      </c>
      <c r="F20" s="45" t="s">
        <v>327</v>
      </c>
      <c r="G20" s="51" t="s">
        <v>57</v>
      </c>
      <c r="H20" s="52">
        <v>1</v>
      </c>
      <c r="I20" s="53">
        <v>46451</v>
      </c>
      <c r="J20" s="53">
        <v>46451</v>
      </c>
      <c r="K20" s="54">
        <v>1</v>
      </c>
      <c r="L20" s="102" t="s">
        <v>22</v>
      </c>
    </row>
    <row r="21" spans="1:12">
      <c r="A21" s="51" t="s">
        <v>295</v>
      </c>
      <c r="B21" s="49" t="s">
        <v>274</v>
      </c>
      <c r="C21" s="77" t="s">
        <v>297</v>
      </c>
      <c r="D21" s="51" t="s">
        <v>46</v>
      </c>
      <c r="E21" s="51" t="s">
        <v>299</v>
      </c>
      <c r="F21" s="45" t="s">
        <v>327</v>
      </c>
      <c r="G21" s="51" t="s">
        <v>57</v>
      </c>
      <c r="H21" s="52">
        <v>1</v>
      </c>
      <c r="I21" s="53">
        <v>46454</v>
      </c>
      <c r="J21" s="53">
        <v>46454</v>
      </c>
      <c r="K21" s="54">
        <v>1</v>
      </c>
      <c r="L21" s="102" t="s">
        <v>22</v>
      </c>
    </row>
    <row r="22" spans="1:12">
      <c r="A22" s="51" t="s">
        <v>295</v>
      </c>
      <c r="B22" s="49" t="s">
        <v>274</v>
      </c>
      <c r="C22" s="77" t="s">
        <v>297</v>
      </c>
      <c r="D22" s="51" t="s">
        <v>50</v>
      </c>
      <c r="E22" s="51" t="s">
        <v>300</v>
      </c>
      <c r="F22" s="45" t="s">
        <v>327</v>
      </c>
      <c r="G22" s="51" t="s">
        <v>62</v>
      </c>
      <c r="H22" s="52">
        <v>2</v>
      </c>
      <c r="I22" s="53">
        <v>46455</v>
      </c>
      <c r="J22" s="53">
        <v>46456</v>
      </c>
      <c r="K22" s="54">
        <v>2</v>
      </c>
      <c r="L22" s="102" t="s">
        <v>22</v>
      </c>
    </row>
    <row r="23" spans="1:12">
      <c r="A23" s="51" t="s">
        <v>295</v>
      </c>
      <c r="B23" s="49" t="s">
        <v>274</v>
      </c>
      <c r="C23" s="77" t="s">
        <v>297</v>
      </c>
      <c r="D23" s="51" t="s">
        <v>50</v>
      </c>
      <c r="E23" s="51" t="s">
        <v>301</v>
      </c>
      <c r="F23" s="45" t="s">
        <v>328</v>
      </c>
      <c r="G23" s="51" t="s">
        <v>18</v>
      </c>
      <c r="H23" s="52">
        <v>5</v>
      </c>
      <c r="I23" s="53">
        <v>46455</v>
      </c>
      <c r="J23" s="53">
        <v>46461</v>
      </c>
      <c r="K23" s="54">
        <v>5</v>
      </c>
      <c r="L23" s="102" t="s">
        <v>22</v>
      </c>
    </row>
    <row r="24" spans="1:12">
      <c r="A24" s="51" t="s">
        <v>302</v>
      </c>
      <c r="B24" s="49" t="s">
        <v>274</v>
      </c>
      <c r="C24" s="77" t="s">
        <v>297</v>
      </c>
      <c r="D24" s="51" t="s">
        <v>55</v>
      </c>
      <c r="E24" s="51" t="s">
        <v>303</v>
      </c>
      <c r="F24" s="45" t="s">
        <v>327</v>
      </c>
      <c r="G24" s="51" t="s">
        <v>57</v>
      </c>
      <c r="H24" s="52">
        <v>1</v>
      </c>
      <c r="I24" s="53">
        <v>46462</v>
      </c>
      <c r="J24" s="53">
        <v>46462</v>
      </c>
      <c r="K24" s="54">
        <v>1</v>
      </c>
      <c r="L24" s="102" t="s">
        <v>22</v>
      </c>
    </row>
    <row r="25" spans="1:12">
      <c r="A25" s="51" t="s">
        <v>302</v>
      </c>
      <c r="B25" s="49" t="s">
        <v>274</v>
      </c>
      <c r="C25" s="77" t="s">
        <v>304</v>
      </c>
      <c r="D25" s="51" t="s">
        <v>46</v>
      </c>
      <c r="E25" s="51" t="s">
        <v>305</v>
      </c>
      <c r="F25" s="45" t="s">
        <v>327</v>
      </c>
      <c r="G25" s="51" t="s">
        <v>57</v>
      </c>
      <c r="H25" s="52">
        <v>1</v>
      </c>
      <c r="I25" s="53">
        <v>46457</v>
      </c>
      <c r="J25" s="53">
        <v>46457</v>
      </c>
      <c r="K25" s="54">
        <v>1</v>
      </c>
      <c r="L25" s="102" t="s">
        <v>22</v>
      </c>
    </row>
    <row r="26" spans="1:12">
      <c r="A26" s="51" t="s">
        <v>302</v>
      </c>
      <c r="B26" s="49" t="s">
        <v>274</v>
      </c>
      <c r="C26" s="77" t="s">
        <v>304</v>
      </c>
      <c r="D26" s="51" t="s">
        <v>46</v>
      </c>
      <c r="E26" s="51" t="s">
        <v>306</v>
      </c>
      <c r="F26" s="45" t="s">
        <v>327</v>
      </c>
      <c r="G26" s="51" t="s">
        <v>57</v>
      </c>
      <c r="H26" s="52">
        <v>1</v>
      </c>
      <c r="I26" s="53">
        <v>46458</v>
      </c>
      <c r="J26" s="53">
        <v>46458</v>
      </c>
      <c r="K26" s="54">
        <v>1</v>
      </c>
      <c r="L26" s="102" t="s">
        <v>22</v>
      </c>
    </row>
    <row r="27" spans="1:12">
      <c r="A27" s="51" t="s">
        <v>302</v>
      </c>
      <c r="B27" s="49" t="s">
        <v>274</v>
      </c>
      <c r="C27" s="77" t="s">
        <v>304</v>
      </c>
      <c r="D27" s="51" t="s">
        <v>50</v>
      </c>
      <c r="E27" s="51" t="s">
        <v>307</v>
      </c>
      <c r="F27" s="45" t="s">
        <v>327</v>
      </c>
      <c r="G27" s="51" t="s">
        <v>62</v>
      </c>
      <c r="H27" s="52">
        <v>1</v>
      </c>
      <c r="I27" s="53">
        <v>46461</v>
      </c>
      <c r="J27" s="53">
        <v>46461</v>
      </c>
      <c r="K27" s="54">
        <v>1</v>
      </c>
      <c r="L27" s="102" t="s">
        <v>22</v>
      </c>
    </row>
    <row r="28" spans="1:12">
      <c r="A28" s="51" t="s">
        <v>302</v>
      </c>
      <c r="B28" s="49" t="s">
        <v>274</v>
      </c>
      <c r="C28" s="77" t="s">
        <v>304</v>
      </c>
      <c r="D28" s="51" t="s">
        <v>50</v>
      </c>
      <c r="E28" s="51" t="s">
        <v>308</v>
      </c>
      <c r="F28" s="45" t="s">
        <v>327</v>
      </c>
      <c r="G28" s="51" t="s">
        <v>86</v>
      </c>
      <c r="H28" s="52">
        <v>2</v>
      </c>
      <c r="I28" s="53">
        <v>46461</v>
      </c>
      <c r="J28" s="53">
        <v>46462</v>
      </c>
      <c r="K28" s="54">
        <v>2</v>
      </c>
      <c r="L28" s="102" t="s">
        <v>22</v>
      </c>
    </row>
    <row r="29" spans="1:12">
      <c r="A29" s="51" t="s">
        <v>302</v>
      </c>
      <c r="B29" s="49" t="s">
        <v>274</v>
      </c>
      <c r="C29" s="77" t="s">
        <v>304</v>
      </c>
      <c r="D29" s="51" t="s">
        <v>55</v>
      </c>
      <c r="E29" s="51" t="s">
        <v>309</v>
      </c>
      <c r="F29" s="45" t="s">
        <v>327</v>
      </c>
      <c r="G29" s="51" t="s">
        <v>57</v>
      </c>
      <c r="H29" s="52">
        <v>1</v>
      </c>
      <c r="I29" s="53">
        <v>46463</v>
      </c>
      <c r="J29" s="53">
        <v>46463</v>
      </c>
      <c r="K29" s="54">
        <v>1</v>
      </c>
      <c r="L29" s="102" t="s">
        <v>22</v>
      </c>
    </row>
    <row r="30" spans="1:12">
      <c r="A30" s="51" t="s">
        <v>302</v>
      </c>
      <c r="B30" s="49" t="s">
        <v>274</v>
      </c>
      <c r="C30" s="77" t="s">
        <v>310</v>
      </c>
      <c r="D30" s="51" t="s">
        <v>46</v>
      </c>
      <c r="E30" s="51" t="s">
        <v>311</v>
      </c>
      <c r="F30" s="45" t="s">
        <v>327</v>
      </c>
      <c r="G30" s="51" t="s">
        <v>57</v>
      </c>
      <c r="H30" s="52">
        <v>1</v>
      </c>
      <c r="I30" s="53">
        <v>46461</v>
      </c>
      <c r="J30" s="53">
        <v>46461</v>
      </c>
      <c r="K30" s="54">
        <v>1</v>
      </c>
      <c r="L30" s="102" t="s">
        <v>22</v>
      </c>
    </row>
    <row r="31" spans="1:12">
      <c r="A31" s="51" t="s">
        <v>302</v>
      </c>
      <c r="B31" s="49" t="s">
        <v>274</v>
      </c>
      <c r="C31" s="77" t="s">
        <v>310</v>
      </c>
      <c r="D31" s="51" t="s">
        <v>46</v>
      </c>
      <c r="E31" s="51" t="s">
        <v>312</v>
      </c>
      <c r="F31" s="45" t="s">
        <v>327</v>
      </c>
      <c r="G31" s="51" t="s">
        <v>57</v>
      </c>
      <c r="H31" s="52">
        <v>1</v>
      </c>
      <c r="I31" s="53">
        <v>46462</v>
      </c>
      <c r="J31" s="53">
        <v>46462</v>
      </c>
      <c r="K31" s="54">
        <v>1</v>
      </c>
      <c r="L31" s="102" t="s">
        <v>22</v>
      </c>
    </row>
    <row r="32" spans="1:12">
      <c r="A32" s="51" t="s">
        <v>302</v>
      </c>
      <c r="B32" s="49" t="s">
        <v>274</v>
      </c>
      <c r="C32" s="77" t="s">
        <v>310</v>
      </c>
      <c r="D32" s="51" t="s">
        <v>50</v>
      </c>
      <c r="E32" s="51" t="s">
        <v>313</v>
      </c>
      <c r="F32" s="45" t="s">
        <v>327</v>
      </c>
      <c r="G32" s="51" t="s">
        <v>62</v>
      </c>
      <c r="H32" s="52">
        <v>1</v>
      </c>
      <c r="I32" s="53">
        <v>46463</v>
      </c>
      <c r="J32" s="53">
        <v>46463</v>
      </c>
      <c r="K32" s="54">
        <v>1</v>
      </c>
      <c r="L32" s="102" t="s">
        <v>22</v>
      </c>
    </row>
    <row r="33" spans="1:12">
      <c r="A33" s="51" t="s">
        <v>314</v>
      </c>
      <c r="B33" s="49" t="s">
        <v>274</v>
      </c>
      <c r="C33" s="77" t="s">
        <v>310</v>
      </c>
      <c r="D33" s="51" t="s">
        <v>50</v>
      </c>
      <c r="E33" s="51" t="s">
        <v>315</v>
      </c>
      <c r="F33" s="45" t="s">
        <v>327</v>
      </c>
      <c r="G33" s="51" t="s">
        <v>18</v>
      </c>
      <c r="H33" s="52">
        <v>2</v>
      </c>
      <c r="I33" s="53">
        <v>46463</v>
      </c>
      <c r="J33" s="53">
        <v>46464</v>
      </c>
      <c r="K33" s="54">
        <v>2</v>
      </c>
      <c r="L33" s="102" t="s">
        <v>22</v>
      </c>
    </row>
    <row r="34" spans="1:12">
      <c r="A34" s="51" t="s">
        <v>314</v>
      </c>
      <c r="B34" s="49" t="s">
        <v>274</v>
      </c>
      <c r="C34" s="77" t="s">
        <v>310</v>
      </c>
      <c r="D34" s="51" t="s">
        <v>55</v>
      </c>
      <c r="E34" s="51" t="s">
        <v>316</v>
      </c>
      <c r="F34" s="45" t="s">
        <v>327</v>
      </c>
      <c r="G34" s="51" t="s">
        <v>57</v>
      </c>
      <c r="H34" s="52">
        <v>1</v>
      </c>
      <c r="I34" s="53">
        <v>46465</v>
      </c>
      <c r="J34" s="53">
        <v>46465</v>
      </c>
      <c r="K34" s="54">
        <v>1</v>
      </c>
      <c r="L34" s="102" t="s">
        <v>22</v>
      </c>
    </row>
    <row r="35" spans="1:12">
      <c r="A35" s="51" t="s">
        <v>314</v>
      </c>
      <c r="B35" s="49" t="s">
        <v>274</v>
      </c>
      <c r="C35" s="77" t="s">
        <v>317</v>
      </c>
      <c r="D35" s="51" t="s">
        <v>46</v>
      </c>
      <c r="E35" s="51" t="s">
        <v>318</v>
      </c>
      <c r="F35" s="45" t="s">
        <v>327</v>
      </c>
      <c r="G35" s="51" t="s">
        <v>57</v>
      </c>
      <c r="H35" s="52">
        <v>1</v>
      </c>
      <c r="I35" s="53">
        <v>46463</v>
      </c>
      <c r="J35" s="53">
        <v>46463</v>
      </c>
      <c r="K35" s="54">
        <v>1</v>
      </c>
      <c r="L35" s="102" t="s">
        <v>22</v>
      </c>
    </row>
    <row r="36" spans="1:12">
      <c r="A36" s="51" t="s">
        <v>314</v>
      </c>
      <c r="B36" s="49" t="s">
        <v>274</v>
      </c>
      <c r="C36" s="77" t="s">
        <v>317</v>
      </c>
      <c r="D36" s="51" t="s">
        <v>46</v>
      </c>
      <c r="E36" s="51" t="s">
        <v>319</v>
      </c>
      <c r="F36" s="45" t="s">
        <v>327</v>
      </c>
      <c r="G36" s="51" t="s">
        <v>57</v>
      </c>
      <c r="H36" s="52">
        <v>1</v>
      </c>
      <c r="I36" s="53">
        <v>46464</v>
      </c>
      <c r="J36" s="53">
        <v>46464</v>
      </c>
      <c r="K36" s="54">
        <v>1</v>
      </c>
      <c r="L36" s="102" t="s">
        <v>22</v>
      </c>
    </row>
    <row r="37" spans="1:12">
      <c r="A37" s="51" t="s">
        <v>314</v>
      </c>
      <c r="B37" s="49" t="s">
        <v>274</v>
      </c>
      <c r="C37" s="77" t="s">
        <v>317</v>
      </c>
      <c r="D37" s="51" t="s">
        <v>50</v>
      </c>
      <c r="E37" s="51" t="s">
        <v>320</v>
      </c>
      <c r="F37" s="45" t="s">
        <v>327</v>
      </c>
      <c r="G37" s="51" t="s">
        <v>62</v>
      </c>
      <c r="H37" s="52">
        <v>2</v>
      </c>
      <c r="I37" s="53">
        <v>46465</v>
      </c>
      <c r="J37" s="53">
        <v>46468</v>
      </c>
      <c r="K37" s="54">
        <v>2</v>
      </c>
      <c r="L37" s="102" t="s">
        <v>22</v>
      </c>
    </row>
    <row r="38" spans="1:12">
      <c r="A38" s="51" t="s">
        <v>314</v>
      </c>
      <c r="B38" s="49" t="s">
        <v>274</v>
      </c>
      <c r="C38" s="77" t="s">
        <v>317</v>
      </c>
      <c r="D38" s="51" t="s">
        <v>50</v>
      </c>
      <c r="E38" s="51" t="s">
        <v>321</v>
      </c>
      <c r="F38" s="45" t="s">
        <v>328</v>
      </c>
      <c r="G38" s="51" t="s">
        <v>18</v>
      </c>
      <c r="H38" s="52">
        <v>5</v>
      </c>
      <c r="I38" s="53">
        <v>46465</v>
      </c>
      <c r="J38" s="53">
        <v>46471</v>
      </c>
      <c r="K38" s="54">
        <v>5</v>
      </c>
      <c r="L38" s="102" t="s">
        <v>22</v>
      </c>
    </row>
    <row r="39" spans="1:12">
      <c r="A39" s="51" t="s">
        <v>330</v>
      </c>
      <c r="B39" s="49" t="s">
        <v>274</v>
      </c>
      <c r="C39" s="77" t="s">
        <v>317</v>
      </c>
      <c r="D39" s="51" t="s">
        <v>55</v>
      </c>
      <c r="E39" s="51" t="s">
        <v>322</v>
      </c>
      <c r="F39" s="45" t="s">
        <v>327</v>
      </c>
      <c r="G39" s="51" t="s">
        <v>57</v>
      </c>
      <c r="H39" s="52">
        <v>1</v>
      </c>
      <c r="I39" s="53">
        <v>46472</v>
      </c>
      <c r="J39" s="53">
        <v>46472</v>
      </c>
      <c r="K39" s="54">
        <v>1</v>
      </c>
      <c r="L39" s="102" t="s">
        <v>22</v>
      </c>
    </row>
    <row r="40" spans="1:12">
      <c r="A40" s="51" t="s">
        <v>323</v>
      </c>
      <c r="B40" s="49" t="s">
        <v>274</v>
      </c>
      <c r="C40" s="77" t="s">
        <v>324</v>
      </c>
      <c r="D40" s="51" t="s">
        <v>325</v>
      </c>
      <c r="E40" s="49"/>
      <c r="F40" s="45" t="s">
        <v>331</v>
      </c>
      <c r="G40" s="51" t="s">
        <v>86</v>
      </c>
      <c r="H40" s="52"/>
      <c r="I40" s="53">
        <v>46475</v>
      </c>
      <c r="J40" s="101">
        <v>46507</v>
      </c>
      <c r="K40" s="49"/>
      <c r="L40" s="102" t="s">
        <v>22</v>
      </c>
    </row>
  </sheetData>
  <mergeCells count="4">
    <mergeCell ref="C1:L1"/>
    <mergeCell ref="J3:J4"/>
    <mergeCell ref="J5:J6"/>
    <mergeCell ref="D7:G7"/>
  </mergeCells>
  <phoneticPr fontId="1" type="noConversion"/>
  <dataValidations count="1">
    <dataValidation type="list" allowBlank="1" showInputMessage="1" showErrorMessage="1" sqref="L10:L40" xr:uid="{461D5B45-B417-447B-9953-D467406DB0C5}">
      <formula1>"Not Started,In progress,Completed"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96A7-53BD-4507-B62C-6AD24A499E83}">
  <sheetPr filterMode="1"/>
  <dimension ref="A1:O227"/>
  <sheetViews>
    <sheetView zoomScale="85" zoomScaleNormal="85" workbookViewId="0">
      <pane ySplit="9" topLeftCell="A38" activePane="bottomLeft" state="frozen"/>
      <selection pane="bottomLeft" activeCell="H36" sqref="H36"/>
    </sheetView>
  </sheetViews>
  <sheetFormatPr defaultColWidth="8.7109375" defaultRowHeight="12.75"/>
  <cols>
    <col min="1" max="1" width="9.42578125" style="49" customWidth="1"/>
    <col min="2" max="2" width="11.140625" style="49" customWidth="1"/>
    <col min="3" max="3" width="38" style="49" customWidth="1"/>
    <col min="4" max="4" width="15.28515625" style="49" customWidth="1"/>
    <col min="5" max="5" width="47.42578125" style="49" customWidth="1"/>
    <col min="6" max="6" width="13.42578125" style="49" customWidth="1"/>
    <col min="7" max="7" width="12.85546875" style="49" customWidth="1"/>
    <col min="8" max="8" width="12" style="49" customWidth="1"/>
    <col min="9" max="9" width="11" style="49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6384" width="8.7109375" style="49"/>
  </cols>
  <sheetData>
    <row r="1" spans="1:15" s="46" customFormat="1" ht="24" customHeight="1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5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5">
      <c r="B3" s="67" t="s">
        <v>6</v>
      </c>
      <c r="C3" s="68">
        <f>COUNTA(E16:E1048576)</f>
        <v>199</v>
      </c>
      <c r="D3" s="68"/>
      <c r="E3" s="45"/>
      <c r="F3" s="69" t="s">
        <v>7</v>
      </c>
      <c r="G3" s="70">
        <f>G5-G4+1</f>
        <v>479</v>
      </c>
      <c r="H3" s="45"/>
      <c r="I3" s="120" t="s">
        <v>8</v>
      </c>
      <c r="J3" s="45"/>
      <c r="M3" s="60" t="s">
        <v>11</v>
      </c>
      <c r="N3" s="50" t="s">
        <v>12</v>
      </c>
    </row>
    <row r="4" spans="1:15" s="46" customFormat="1" ht="15">
      <c r="B4" s="71" t="s">
        <v>9</v>
      </c>
      <c r="C4" s="72">
        <f>COUNTIF(K16:K1048576,B4)</f>
        <v>0</v>
      </c>
      <c r="D4" s="72"/>
      <c r="E4" s="45"/>
      <c r="F4" s="73" t="s">
        <v>10</v>
      </c>
      <c r="G4" s="74">
        <f>MIN(H10:H1048576)</f>
        <v>45915</v>
      </c>
      <c r="H4" s="45"/>
      <c r="I4" s="121"/>
      <c r="J4" s="45"/>
      <c r="K4" s="89">
        <f>SUM(G10:G15)</f>
        <v>24</v>
      </c>
      <c r="M4" s="56" t="s">
        <v>332</v>
      </c>
      <c r="N4" s="57">
        <v>0.5</v>
      </c>
    </row>
    <row r="5" spans="1:15" s="46" customFormat="1" ht="15">
      <c r="B5" s="71" t="s">
        <v>16</v>
      </c>
      <c r="C5" s="72">
        <f>COUNTIF(K16:K1048576,B5)</f>
        <v>9</v>
      </c>
      <c r="D5" s="72"/>
      <c r="E5" s="45"/>
      <c r="F5" s="73" t="s">
        <v>17</v>
      </c>
      <c r="G5" s="74">
        <f>MAX(I10:I1048576)</f>
        <v>46393</v>
      </c>
      <c r="H5" s="45"/>
      <c r="I5" s="122"/>
      <c r="J5" s="45"/>
      <c r="K5" s="89">
        <f>SUM(G10:G214)</f>
        <v>408</v>
      </c>
      <c r="M5" s="56" t="s">
        <v>18</v>
      </c>
      <c r="N5" s="57">
        <v>1</v>
      </c>
    </row>
    <row r="6" spans="1:15" s="46" customFormat="1" ht="15">
      <c r="B6" s="71" t="s">
        <v>22</v>
      </c>
      <c r="C6" s="72">
        <f>COUNTIF(K16:K1048576,B6)</f>
        <v>190</v>
      </c>
      <c r="D6" s="72"/>
      <c r="E6" s="45"/>
      <c r="F6" s="73"/>
      <c r="G6" s="75"/>
      <c r="H6" s="45"/>
      <c r="I6" s="122"/>
      <c r="J6" s="45"/>
      <c r="M6" s="56" t="s">
        <v>333</v>
      </c>
      <c r="N6" s="57">
        <v>0.5</v>
      </c>
    </row>
    <row r="7" spans="1:15" s="46" customFormat="1" ht="1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90">
        <f>K4/K5</f>
        <v>5.8823529411764705E-2</v>
      </c>
      <c r="M7" s="56" t="s">
        <v>28</v>
      </c>
      <c r="N7" s="57">
        <v>1</v>
      </c>
    </row>
    <row r="8" spans="1:15" s="46" customFormat="1" ht="15">
      <c r="B8" s="44"/>
      <c r="C8" s="44"/>
      <c r="D8" s="44"/>
      <c r="E8" s="45"/>
      <c r="F8" s="45"/>
      <c r="G8" s="45"/>
      <c r="H8" s="45"/>
      <c r="I8" s="76"/>
      <c r="J8" s="45"/>
      <c r="K8" s="90"/>
      <c r="M8" s="94" t="s">
        <v>32</v>
      </c>
      <c r="N8" s="57">
        <v>1</v>
      </c>
    </row>
    <row r="9" spans="1:15" ht="25.5">
      <c r="A9" s="47" t="s">
        <v>272</v>
      </c>
      <c r="B9" s="47" t="s">
        <v>35</v>
      </c>
      <c r="C9" s="47" t="s">
        <v>36</v>
      </c>
      <c r="D9" s="47" t="s">
        <v>37</v>
      </c>
      <c r="E9" s="47" t="s">
        <v>38</v>
      </c>
      <c r="F9" s="47" t="s">
        <v>40</v>
      </c>
      <c r="G9" s="59" t="s">
        <v>41</v>
      </c>
      <c r="H9" s="48" t="s">
        <v>10</v>
      </c>
      <c r="I9" s="48" t="s">
        <v>17</v>
      </c>
      <c r="J9" s="48" t="s">
        <v>7</v>
      </c>
      <c r="K9" s="48" t="s">
        <v>42</v>
      </c>
    </row>
    <row r="10" spans="1:15" hidden="1">
      <c r="A10" s="51" t="s">
        <v>273</v>
      </c>
      <c r="B10" s="49" t="s">
        <v>274</v>
      </c>
      <c r="C10" s="51" t="s">
        <v>275</v>
      </c>
      <c r="D10" s="51" t="s">
        <v>46</v>
      </c>
      <c r="E10" s="51" t="s">
        <v>83</v>
      </c>
      <c r="F10" s="51" t="s">
        <v>18</v>
      </c>
      <c r="G10" s="52">
        <v>3</v>
      </c>
      <c r="H10" s="53">
        <v>45915</v>
      </c>
      <c r="I10" s="53">
        <f t="shared" ref="I10:I15" si="0">WORKDAY(H10,J10)</f>
        <v>45918</v>
      </c>
      <c r="J10" s="54">
        <f>G10/$N$5</f>
        <v>3</v>
      </c>
      <c r="K10" s="102" t="s">
        <v>9</v>
      </c>
    </row>
    <row r="11" spans="1:15" hidden="1">
      <c r="A11" s="51" t="s">
        <v>273</v>
      </c>
      <c r="B11" s="49" t="s">
        <v>274</v>
      </c>
      <c r="C11" s="51" t="s">
        <v>45</v>
      </c>
      <c r="D11" s="51" t="s">
        <v>46</v>
      </c>
      <c r="E11" s="51" t="s">
        <v>277</v>
      </c>
      <c r="F11" s="51" t="s">
        <v>18</v>
      </c>
      <c r="G11" s="52">
        <v>3</v>
      </c>
      <c r="H11" s="53">
        <f>WORKDAY(I10,1)</f>
        <v>45919</v>
      </c>
      <c r="I11" s="53">
        <f t="shared" si="0"/>
        <v>45924</v>
      </c>
      <c r="J11" s="54">
        <f t="shared" ref="J11:J15" si="1">G11/$N$5</f>
        <v>3</v>
      </c>
      <c r="K11" s="102" t="s">
        <v>9</v>
      </c>
    </row>
    <row r="12" spans="1:15" hidden="1">
      <c r="A12" s="51" t="s">
        <v>273</v>
      </c>
      <c r="B12" s="49" t="s">
        <v>274</v>
      </c>
      <c r="C12" s="51" t="s">
        <v>45</v>
      </c>
      <c r="D12" s="51" t="s">
        <v>50</v>
      </c>
      <c r="E12" s="51" t="s">
        <v>51</v>
      </c>
      <c r="F12" s="51" t="s">
        <v>18</v>
      </c>
      <c r="G12" s="52">
        <v>5</v>
      </c>
      <c r="H12" s="53">
        <f>WORKDAY(I11,1)</f>
        <v>45925</v>
      </c>
      <c r="I12" s="53">
        <f t="shared" si="0"/>
        <v>45932</v>
      </c>
      <c r="J12" s="54">
        <f t="shared" si="1"/>
        <v>5</v>
      </c>
      <c r="K12" s="102" t="s">
        <v>9</v>
      </c>
    </row>
    <row r="13" spans="1:15" hidden="1">
      <c r="A13" s="51" t="s">
        <v>273</v>
      </c>
      <c r="B13" s="49" t="s">
        <v>274</v>
      </c>
      <c r="C13" s="51" t="s">
        <v>45</v>
      </c>
      <c r="D13" s="51" t="s">
        <v>50</v>
      </c>
      <c r="E13" s="51" t="s">
        <v>52</v>
      </c>
      <c r="F13" s="51" t="s">
        <v>18</v>
      </c>
      <c r="G13" s="52">
        <v>5</v>
      </c>
      <c r="H13" s="53">
        <f>WORKDAY(I12,1)</f>
        <v>45933</v>
      </c>
      <c r="I13" s="53">
        <f t="shared" si="0"/>
        <v>45940</v>
      </c>
      <c r="J13" s="54">
        <f t="shared" si="1"/>
        <v>5</v>
      </c>
      <c r="K13" s="102" t="s">
        <v>9</v>
      </c>
    </row>
    <row r="14" spans="1:15" hidden="1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54</v>
      </c>
      <c r="F14" s="51" t="s">
        <v>18</v>
      </c>
      <c r="G14" s="52">
        <v>5</v>
      </c>
      <c r="H14" s="53">
        <f>WORKDAY(I13,1)</f>
        <v>45943</v>
      </c>
      <c r="I14" s="53">
        <f t="shared" si="0"/>
        <v>45950</v>
      </c>
      <c r="J14" s="54">
        <f t="shared" si="1"/>
        <v>5</v>
      </c>
      <c r="K14" s="102" t="s">
        <v>9</v>
      </c>
    </row>
    <row r="15" spans="1:15" hidden="1">
      <c r="A15" s="51" t="s">
        <v>273</v>
      </c>
      <c r="B15" s="49" t="s">
        <v>274</v>
      </c>
      <c r="C15" s="51" t="s">
        <v>45</v>
      </c>
      <c r="D15" s="51" t="s">
        <v>278</v>
      </c>
      <c r="E15" s="51" t="s">
        <v>56</v>
      </c>
      <c r="F15" s="51" t="s">
        <v>18</v>
      </c>
      <c r="G15" s="52">
        <v>3</v>
      </c>
      <c r="H15" s="53">
        <f>WORKDAY(I14,1)</f>
        <v>45951</v>
      </c>
      <c r="I15" s="53">
        <f t="shared" si="0"/>
        <v>45954</v>
      </c>
      <c r="J15" s="54">
        <f t="shared" si="1"/>
        <v>3</v>
      </c>
      <c r="K15" s="102" t="s">
        <v>9</v>
      </c>
    </row>
    <row r="16" spans="1:15">
      <c r="A16" s="51" t="str" cm="1">
        <f t="array" ref="A16">INDEX('Sprint Calendar'!$A:$A, MATCH(1, ('Project Planning - C'!I16 &gt;= 'Sprint Calendar'!$B:$B) * ('Project Planning - C'!H16 &lt;= 'Sprint Calendar'!$C:$C), 0))</f>
        <v>Sprint 1</v>
      </c>
      <c r="B16" s="81" t="s">
        <v>44</v>
      </c>
      <c r="C16" s="51" t="s">
        <v>45</v>
      </c>
      <c r="D16" s="51" t="s">
        <v>46</v>
      </c>
      <c r="E16" s="51" t="s">
        <v>47</v>
      </c>
      <c r="F16" s="51" t="s">
        <v>332</v>
      </c>
      <c r="G16" s="52">
        <v>3</v>
      </c>
      <c r="H16" s="53">
        <v>45985</v>
      </c>
      <c r="I16" s="53">
        <f t="shared" ref="I16:I29" si="2">WORKDAY(H16,J16)</f>
        <v>45993</v>
      </c>
      <c r="J16" s="54">
        <f>G16/N4</f>
        <v>6</v>
      </c>
      <c r="K16" s="55" t="s">
        <v>16</v>
      </c>
    </row>
    <row r="17" spans="1:11">
      <c r="A17" s="51" t="str" cm="1">
        <f t="array" ref="A17">INDEX('Sprint Calendar'!$A:$A, MATCH(1, ('Project Planning - C'!I17 &gt;= 'Sprint Calendar'!$B:$B) * ('Project Planning - C'!H17 &lt;= 'Sprint Calendar'!$C:$C), 0))</f>
        <v>Sprint 1</v>
      </c>
      <c r="B17" s="81" t="s">
        <v>44</v>
      </c>
      <c r="C17" s="51" t="s">
        <v>45</v>
      </c>
      <c r="D17" s="51" t="s">
        <v>46</v>
      </c>
      <c r="E17" s="51" t="s">
        <v>49</v>
      </c>
      <c r="F17" s="51" t="s">
        <v>332</v>
      </c>
      <c r="G17" s="52">
        <v>3</v>
      </c>
      <c r="H17" s="53">
        <f>WORKDAY(I16,1)</f>
        <v>45994</v>
      </c>
      <c r="I17" s="53">
        <f t="shared" si="2"/>
        <v>46002</v>
      </c>
      <c r="J17" s="54">
        <f>G17/N4</f>
        <v>6</v>
      </c>
      <c r="K17" s="55" t="s">
        <v>16</v>
      </c>
    </row>
    <row r="18" spans="1:11">
      <c r="A18" s="51" t="str" cm="1">
        <f t="array" ref="A18">INDEX('Sprint Calendar'!$A:$A, MATCH(1, ('Project Planning - C'!I18 &gt;= 'Sprint Calendar'!$B:$B) * ('Project Planning - C'!H18 &lt;= 'Sprint Calendar'!$C:$C), 0))</f>
        <v>Sprint 1</v>
      </c>
      <c r="B18" s="81" t="s">
        <v>44</v>
      </c>
      <c r="C18" s="51" t="s">
        <v>45</v>
      </c>
      <c r="D18" s="51" t="s">
        <v>50</v>
      </c>
      <c r="E18" s="51" t="s">
        <v>51</v>
      </c>
      <c r="F18" s="51" t="s">
        <v>18</v>
      </c>
      <c r="G18" s="52">
        <v>3</v>
      </c>
      <c r="H18" s="53">
        <v>45985</v>
      </c>
      <c r="I18" s="53">
        <f t="shared" si="2"/>
        <v>45988</v>
      </c>
      <c r="J18" s="54">
        <f>G18/$N$5</f>
        <v>3</v>
      </c>
      <c r="K18" s="55" t="s">
        <v>16</v>
      </c>
    </row>
    <row r="19" spans="1:11">
      <c r="A19" s="51" t="str" cm="1">
        <f t="array" ref="A19">INDEX('Sprint Calendar'!$A:$A, MATCH(1, ('Project Planning - C'!I19 &gt;= 'Sprint Calendar'!$B:$B) * ('Project Planning - C'!H19 &lt;= 'Sprint Calendar'!$C:$C), 0))</f>
        <v>Sprint 1</v>
      </c>
      <c r="B19" s="81" t="s">
        <v>44</v>
      </c>
      <c r="C19" s="51" t="s">
        <v>45</v>
      </c>
      <c r="D19" s="51" t="s">
        <v>50</v>
      </c>
      <c r="E19" s="51" t="s">
        <v>52</v>
      </c>
      <c r="F19" s="51" t="s">
        <v>18</v>
      </c>
      <c r="G19" s="52">
        <v>5</v>
      </c>
      <c r="H19" s="53">
        <f>WORKDAY(I18,1)</f>
        <v>45989</v>
      </c>
      <c r="I19" s="53">
        <f t="shared" si="2"/>
        <v>45996</v>
      </c>
      <c r="J19" s="54">
        <f>G19/$N$5</f>
        <v>5</v>
      </c>
      <c r="K19" s="55" t="s">
        <v>22</v>
      </c>
    </row>
    <row r="20" spans="1:11">
      <c r="A20" s="51" t="str" cm="1">
        <f t="array" ref="A20">INDEX('Sprint Calendar'!$A:$A, MATCH(1, ('Project Planning - C'!I20 &gt;= 'Sprint Calendar'!$B:$B) * ('Project Planning - C'!H20 &lt;= 'Sprint Calendar'!$C:$C), 0))</f>
        <v>Sprint 2</v>
      </c>
      <c r="B20" s="81" t="s">
        <v>44</v>
      </c>
      <c r="C20" s="51" t="s">
        <v>45</v>
      </c>
      <c r="D20" s="51" t="s">
        <v>50</v>
      </c>
      <c r="E20" s="51" t="s">
        <v>54</v>
      </c>
      <c r="F20" s="51" t="s">
        <v>18</v>
      </c>
      <c r="G20" s="52">
        <v>2</v>
      </c>
      <c r="H20" s="53">
        <f>WORKDAY(I19,1)</f>
        <v>45999</v>
      </c>
      <c r="I20" s="53">
        <f t="shared" si="2"/>
        <v>46001</v>
      </c>
      <c r="J20" s="54">
        <f>G20/$N$5</f>
        <v>2</v>
      </c>
      <c r="K20" s="55" t="s">
        <v>22</v>
      </c>
    </row>
    <row r="21" spans="1:11">
      <c r="A21" s="51" t="str" cm="1">
        <f t="array" ref="A21">INDEX('Sprint Calendar'!$A:$A, MATCH(1, ('Project Planning - C'!I21 &gt;= 'Sprint Calendar'!$B:$B) * ('Project Planning - C'!H21 &lt;= 'Sprint Calendar'!$C:$C), 0))</f>
        <v>Sprint 2</v>
      </c>
      <c r="B21" s="81" t="s">
        <v>44</v>
      </c>
      <c r="C21" s="51" t="s">
        <v>45</v>
      </c>
      <c r="D21" s="51" t="s">
        <v>278</v>
      </c>
      <c r="E21" s="51" t="s">
        <v>56</v>
      </c>
      <c r="F21" s="51" t="s">
        <v>18</v>
      </c>
      <c r="G21" s="52">
        <v>3</v>
      </c>
      <c r="H21" s="53">
        <f>WORKDAY(I20,1)</f>
        <v>46002</v>
      </c>
      <c r="I21" s="53">
        <f t="shared" si="2"/>
        <v>46007</v>
      </c>
      <c r="J21" s="54">
        <f>G21/N5</f>
        <v>3</v>
      </c>
      <c r="K21" s="55" t="s">
        <v>22</v>
      </c>
    </row>
    <row r="22" spans="1:11">
      <c r="A22" s="51" t="str" cm="1">
        <f t="array" ref="A22">INDEX('Sprint Calendar'!$A:$A, MATCH(1, ('Project Planning - C'!I22 &gt;= 'Sprint Calendar'!$B:$B) * ('Project Planning - C'!H22 &lt;= 'Sprint Calendar'!$C:$C), 0))</f>
        <v>Sprint 2</v>
      </c>
      <c r="B22" s="81" t="s">
        <v>44</v>
      </c>
      <c r="C22" s="51" t="s">
        <v>58</v>
      </c>
      <c r="D22" s="51" t="s">
        <v>46</v>
      </c>
      <c r="E22" s="51" t="s">
        <v>59</v>
      </c>
      <c r="F22" s="51" t="s">
        <v>332</v>
      </c>
      <c r="G22" s="52">
        <v>1.5</v>
      </c>
      <c r="H22" s="53">
        <f>WORKDAY(I17,1)</f>
        <v>46003</v>
      </c>
      <c r="I22" s="53">
        <f t="shared" si="2"/>
        <v>46008</v>
      </c>
      <c r="J22" s="54">
        <f>G22/$N$6</f>
        <v>3</v>
      </c>
      <c r="K22" s="55" t="s">
        <v>16</v>
      </c>
    </row>
    <row r="23" spans="1:11">
      <c r="A23" s="51" t="str" cm="1">
        <f t="array" ref="A23">INDEX('Sprint Calendar'!$A:$A, MATCH(1, ('Project Planning - C'!I23 &gt;= 'Sprint Calendar'!$B:$B) * ('Project Planning - C'!H23 &lt;= 'Sprint Calendar'!$C:$C), 0))</f>
        <v>Sprint 2</v>
      </c>
      <c r="B23" s="81" t="s">
        <v>44</v>
      </c>
      <c r="C23" s="51" t="s">
        <v>58</v>
      </c>
      <c r="D23" s="51" t="s">
        <v>46</v>
      </c>
      <c r="E23" s="51" t="s">
        <v>60</v>
      </c>
      <c r="F23" s="51" t="s">
        <v>332</v>
      </c>
      <c r="G23" s="52">
        <v>1.5</v>
      </c>
      <c r="H23" s="53">
        <f>WORKDAY(I22,1)</f>
        <v>46009</v>
      </c>
      <c r="I23" s="53">
        <f t="shared" si="2"/>
        <v>46014</v>
      </c>
      <c r="J23" s="54">
        <f>G23/$N$6</f>
        <v>3</v>
      </c>
      <c r="K23" s="55" t="s">
        <v>16</v>
      </c>
    </row>
    <row r="24" spans="1:11">
      <c r="A24" s="51" t="str" cm="1">
        <f t="array" ref="A24">INDEX('Sprint Calendar'!$A:$A, MATCH(1, ('Project Planning - C'!I24 &gt;= 'Sprint Calendar'!$B:$B) * ('Project Planning - C'!H24 &lt;= 'Sprint Calendar'!$C:$C), 0))</f>
        <v>Sprint 2</v>
      </c>
      <c r="B24" s="81" t="s">
        <v>44</v>
      </c>
      <c r="C24" s="51" t="s">
        <v>58</v>
      </c>
      <c r="D24" s="51" t="s">
        <v>50</v>
      </c>
      <c r="E24" s="51" t="s">
        <v>61</v>
      </c>
      <c r="F24" s="51" t="s">
        <v>18</v>
      </c>
      <c r="G24" s="52">
        <v>4</v>
      </c>
      <c r="H24" s="53">
        <f>WORKDAY(I21,1)</f>
        <v>46008</v>
      </c>
      <c r="I24" s="53">
        <f t="shared" si="2"/>
        <v>46014</v>
      </c>
      <c r="J24" s="54">
        <f>G24/$N$5</f>
        <v>4</v>
      </c>
      <c r="K24" s="55" t="s">
        <v>22</v>
      </c>
    </row>
    <row r="25" spans="1:11">
      <c r="A25" s="51" t="str" cm="1">
        <f t="array" ref="A25">INDEX('Sprint Calendar'!$A:$A, MATCH(1, ('Project Planning - C'!I25 &gt;= 'Sprint Calendar'!$B:$B) * ('Project Planning - C'!H25 &lt;= 'Sprint Calendar'!$C:$C), 0))</f>
        <v>Sprint 3</v>
      </c>
      <c r="B25" s="81" t="s">
        <v>64</v>
      </c>
      <c r="C25" s="51" t="s">
        <v>58</v>
      </c>
      <c r="D25" s="51" t="s">
        <v>50</v>
      </c>
      <c r="E25" s="51" t="s">
        <v>65</v>
      </c>
      <c r="F25" s="51" t="s">
        <v>18</v>
      </c>
      <c r="G25" s="52">
        <v>4</v>
      </c>
      <c r="H25" s="53">
        <f>WORKDAY(I24,1)</f>
        <v>46015</v>
      </c>
      <c r="I25" s="53">
        <f t="shared" si="2"/>
        <v>46021</v>
      </c>
      <c r="J25" s="54">
        <f t="shared" ref="J25:J26" si="3">G25/$N$5</f>
        <v>4</v>
      </c>
      <c r="K25" s="55" t="s">
        <v>22</v>
      </c>
    </row>
    <row r="26" spans="1:11">
      <c r="A26" s="51" t="str" cm="1">
        <f t="array" ref="A26">INDEX('Sprint Calendar'!$A:$A, MATCH(1, ('Project Planning - C'!I26 &gt;= 'Sprint Calendar'!$B:$B) * ('Project Planning - C'!H26 &lt;= 'Sprint Calendar'!$C:$C), 0))</f>
        <v>Sprint 3</v>
      </c>
      <c r="B26" s="81" t="s">
        <v>44</v>
      </c>
      <c r="C26" s="51" t="s">
        <v>58</v>
      </c>
      <c r="D26" s="51" t="s">
        <v>278</v>
      </c>
      <c r="E26" s="51" t="s">
        <v>66</v>
      </c>
      <c r="F26" s="51" t="s">
        <v>18</v>
      </c>
      <c r="G26" s="52">
        <v>3</v>
      </c>
      <c r="H26" s="53">
        <f>WORKDAY(I25,1)</f>
        <v>46022</v>
      </c>
      <c r="I26" s="53">
        <f t="shared" si="2"/>
        <v>46027</v>
      </c>
      <c r="J26" s="54">
        <f t="shared" si="3"/>
        <v>3</v>
      </c>
      <c r="K26" s="55" t="s">
        <v>22</v>
      </c>
    </row>
    <row r="27" spans="1:11">
      <c r="A27" s="51" t="str" cm="1">
        <f t="array" ref="A27">INDEX('Sprint Calendar'!$A:$A, MATCH(1, ('Project Planning - C'!I27 &gt;= 'Sprint Calendar'!$B:$B) * ('Project Planning - C'!H27 &lt;= 'Sprint Calendar'!$C:$C), 0))</f>
        <v>Sprint 3</v>
      </c>
      <c r="B27" s="81" t="s">
        <v>44</v>
      </c>
      <c r="C27" s="51" t="s">
        <v>67</v>
      </c>
      <c r="D27" s="51" t="s">
        <v>46</v>
      </c>
      <c r="E27" s="51" t="s">
        <v>68</v>
      </c>
      <c r="F27" s="51" t="s">
        <v>332</v>
      </c>
      <c r="G27" s="52">
        <v>1.5</v>
      </c>
      <c r="H27" s="53">
        <f>WORKDAY(I23,1)</f>
        <v>46015</v>
      </c>
      <c r="I27" s="53">
        <f t="shared" si="2"/>
        <v>46020</v>
      </c>
      <c r="J27" s="54">
        <f>G27/$N$4</f>
        <v>3</v>
      </c>
      <c r="K27" s="55" t="s">
        <v>16</v>
      </c>
    </row>
    <row r="28" spans="1:11">
      <c r="A28" s="51" t="str" cm="1">
        <f t="array" ref="A28">INDEX('Sprint Calendar'!$A:$A, MATCH(1, ('Project Planning - C'!I28 &gt;= 'Sprint Calendar'!$B:$B) * ('Project Planning - C'!H28 &lt;= 'Sprint Calendar'!$C:$C), 0))</f>
        <v>Sprint 3</v>
      </c>
      <c r="B28" s="81" t="s">
        <v>44</v>
      </c>
      <c r="C28" s="51" t="s">
        <v>67</v>
      </c>
      <c r="D28" s="51" t="s">
        <v>46</v>
      </c>
      <c r="E28" s="51" t="s">
        <v>69</v>
      </c>
      <c r="F28" s="51" t="s">
        <v>332</v>
      </c>
      <c r="G28" s="52">
        <v>1.5</v>
      </c>
      <c r="H28" s="53">
        <f>WORKDAY(I27,1)</f>
        <v>46021</v>
      </c>
      <c r="I28" s="53">
        <f t="shared" si="2"/>
        <v>46024</v>
      </c>
      <c r="J28" s="54">
        <f>G28/$N$4</f>
        <v>3</v>
      </c>
      <c r="K28" s="55" t="s">
        <v>16</v>
      </c>
    </row>
    <row r="29" spans="1:11">
      <c r="A29" s="51" t="str" cm="1">
        <f t="array" ref="A29">INDEX('Sprint Calendar'!$A:$A, MATCH(1, ('Project Planning - C'!I29 &gt;= 'Sprint Calendar'!$B:$B) * ('Project Planning - C'!H29 &lt;= 'Sprint Calendar'!$C:$C), 0))</f>
        <v>Sprint 4</v>
      </c>
      <c r="B29" s="81" t="s">
        <v>44</v>
      </c>
      <c r="C29" s="51" t="s">
        <v>67</v>
      </c>
      <c r="D29" s="51" t="s">
        <v>50</v>
      </c>
      <c r="E29" s="51" t="s">
        <v>71</v>
      </c>
      <c r="F29" s="51" t="s">
        <v>18</v>
      </c>
      <c r="G29" s="52">
        <v>4</v>
      </c>
      <c r="H29" s="53">
        <f>WORKDAY(I26,1)</f>
        <v>46028</v>
      </c>
      <c r="I29" s="53">
        <f t="shared" si="2"/>
        <v>46034</v>
      </c>
      <c r="J29" s="54">
        <f>G29/$N$5</f>
        <v>4</v>
      </c>
      <c r="K29" s="55" t="s">
        <v>22</v>
      </c>
    </row>
    <row r="30" spans="1:11">
      <c r="A30" s="51" t="str" cm="1">
        <f t="array" ref="A30">INDEX('Sprint Calendar'!$A:$A, MATCH(1, ('Project Planning - C'!I30 &gt;= 'Sprint Calendar'!$B:$B) * ('Project Planning - C'!H30 &lt;= 'Sprint Calendar'!$C:$C), 0))</f>
        <v>Sprint 4</v>
      </c>
      <c r="B30" s="81" t="s">
        <v>44</v>
      </c>
      <c r="C30" s="51" t="s">
        <v>67</v>
      </c>
      <c r="D30" s="51" t="s">
        <v>50</v>
      </c>
      <c r="E30" s="51" t="s">
        <v>72</v>
      </c>
      <c r="F30" s="51" t="s">
        <v>18</v>
      </c>
      <c r="G30" s="52">
        <v>4</v>
      </c>
      <c r="H30" s="53">
        <f t="shared" ref="H30" si="4">WORKDAY(I29,1)</f>
        <v>46035</v>
      </c>
      <c r="I30" s="53">
        <f t="shared" ref="I30:I31" si="5">WORKDAY(H30,J30)</f>
        <v>46041</v>
      </c>
      <c r="J30" s="54">
        <f t="shared" ref="J30:J31" si="6">G30/$N$5</f>
        <v>4</v>
      </c>
      <c r="K30" s="55" t="s">
        <v>22</v>
      </c>
    </row>
    <row r="31" spans="1:11">
      <c r="A31" s="51" t="str" cm="1">
        <f t="array" ref="A31">INDEX('Sprint Calendar'!$A:$A, MATCH(1, ('Project Planning - C'!I31 &gt;= 'Sprint Calendar'!$B:$B) * ('Project Planning - C'!H31 &lt;= 'Sprint Calendar'!$C:$C), 0))</f>
        <v>Sprint 5</v>
      </c>
      <c r="B31" s="81" t="s">
        <v>44</v>
      </c>
      <c r="C31" s="51" t="s">
        <v>67</v>
      </c>
      <c r="D31" s="51" t="s">
        <v>278</v>
      </c>
      <c r="E31" s="51" t="s">
        <v>74</v>
      </c>
      <c r="F31" s="51" t="s">
        <v>18</v>
      </c>
      <c r="G31" s="52">
        <v>2</v>
      </c>
      <c r="H31" s="53">
        <f>WORKDAY(I30,1)</f>
        <v>46042</v>
      </c>
      <c r="I31" s="53">
        <f t="shared" si="5"/>
        <v>46044</v>
      </c>
      <c r="J31" s="54">
        <f t="shared" si="6"/>
        <v>2</v>
      </c>
      <c r="K31" s="55" t="s">
        <v>22</v>
      </c>
    </row>
    <row r="32" spans="1:11">
      <c r="A32" s="51" t="str" cm="1">
        <f t="array" ref="A32">INDEX('Sprint Calendar'!$A:$A, MATCH(1, ('Project Planning - C'!I32 &gt;= 'Sprint Calendar'!$B:$B) * ('Project Planning - C'!H32 &lt;= 'Sprint Calendar'!$C:$C), 0))</f>
        <v>Sprint 3</v>
      </c>
      <c r="B32" s="81" t="s">
        <v>44</v>
      </c>
      <c r="C32" s="51" t="s">
        <v>75</v>
      </c>
      <c r="D32" s="51" t="s">
        <v>46</v>
      </c>
      <c r="E32" s="51" t="s">
        <v>76</v>
      </c>
      <c r="F32" s="51" t="s">
        <v>332</v>
      </c>
      <c r="G32" s="52">
        <v>1.5</v>
      </c>
      <c r="H32" s="53">
        <f>WORKDAY(I23,1)</f>
        <v>46015</v>
      </c>
      <c r="I32" s="53">
        <f>WORKDAY(H32,J32)</f>
        <v>46020</v>
      </c>
      <c r="J32" s="54">
        <f>G32/$N$4</f>
        <v>3</v>
      </c>
      <c r="K32" s="55" t="s">
        <v>16</v>
      </c>
    </row>
    <row r="33" spans="1:11">
      <c r="A33" s="51" t="str" cm="1">
        <f t="array" ref="A33">INDEX('Sprint Calendar'!$A:$A, MATCH(1, ('Project Planning - C'!I33 &gt;= 'Sprint Calendar'!$B:$B) * ('Project Planning - C'!H33 &lt;= 'Sprint Calendar'!$C:$C), 0))</f>
        <v>Sprint 3</v>
      </c>
      <c r="B33" s="81" t="s">
        <v>44</v>
      </c>
      <c r="C33" s="51" t="s">
        <v>75</v>
      </c>
      <c r="D33" s="51" t="s">
        <v>46</v>
      </c>
      <c r="E33" s="51" t="s">
        <v>77</v>
      </c>
      <c r="F33" s="51" t="s">
        <v>332</v>
      </c>
      <c r="G33" s="52">
        <v>1.5</v>
      </c>
      <c r="H33" s="53">
        <f>WORKDAY(I32,1)</f>
        <v>46021</v>
      </c>
      <c r="I33" s="53">
        <f t="shared" ref="I33:I37" si="7">WORKDAY(H33,J33)</f>
        <v>46024</v>
      </c>
      <c r="J33" s="54">
        <f>G33/$N$4</f>
        <v>3</v>
      </c>
      <c r="K33" s="55" t="s">
        <v>16</v>
      </c>
    </row>
    <row r="34" spans="1:11">
      <c r="A34" s="51" t="str" cm="1">
        <f t="array" ref="A34">INDEX('Sprint Calendar'!$A:$A, MATCH(1, ('Project Planning - C'!I34 &gt;= 'Sprint Calendar'!$B:$B) * ('Project Planning - C'!H34 &lt;= 'Sprint Calendar'!$C:$C), 0))</f>
        <v>Sprint 5</v>
      </c>
      <c r="B34" s="81" t="s">
        <v>44</v>
      </c>
      <c r="C34" s="51" t="s">
        <v>75</v>
      </c>
      <c r="D34" s="51" t="s">
        <v>50</v>
      </c>
      <c r="E34" s="51" t="s">
        <v>78</v>
      </c>
      <c r="F34" s="51" t="s">
        <v>18</v>
      </c>
      <c r="G34" s="52">
        <v>4</v>
      </c>
      <c r="H34" s="53">
        <f>WORKDAY(I31,1)</f>
        <v>46045</v>
      </c>
      <c r="I34" s="53">
        <f t="shared" si="7"/>
        <v>46051</v>
      </c>
      <c r="J34" s="54">
        <f>G34/$N$5</f>
        <v>4</v>
      </c>
      <c r="K34" s="55" t="s">
        <v>22</v>
      </c>
    </row>
    <row r="35" spans="1:11">
      <c r="A35" s="51" t="str" cm="1">
        <f t="array" ref="A35">INDEX('Sprint Calendar'!$A:$A, MATCH(1, ('Project Planning - C'!I35 &gt;= 'Sprint Calendar'!$B:$B) * ('Project Planning - C'!H35 &lt;= 'Sprint Calendar'!$C:$C), 0))</f>
        <v>Sprint 5</v>
      </c>
      <c r="B35" s="81" t="s">
        <v>44</v>
      </c>
      <c r="C35" s="51" t="s">
        <v>75</v>
      </c>
      <c r="D35" s="51" t="s">
        <v>50</v>
      </c>
      <c r="E35" s="51" t="s">
        <v>79</v>
      </c>
      <c r="F35" s="51" t="s">
        <v>18</v>
      </c>
      <c r="G35" s="52">
        <v>4</v>
      </c>
      <c r="H35" s="53">
        <f>WORKDAY(I34,1)</f>
        <v>46052</v>
      </c>
      <c r="I35" s="53">
        <f t="shared" si="7"/>
        <v>46058</v>
      </c>
      <c r="J35" s="54">
        <f>G35/$N$5</f>
        <v>4</v>
      </c>
      <c r="K35" s="55" t="s">
        <v>22</v>
      </c>
    </row>
    <row r="36" spans="1:11">
      <c r="A36" s="82" t="str" cm="1">
        <f t="array" ref="A36">INDEX('Sprint Calendar'!$A:$A, MATCH(1, ('Project Planning - C'!I36 &gt;= 'Sprint Calendar'!$B:$B) * ('Project Planning - C'!H36 &lt;= 'Sprint Calendar'!$C:$C), 0))</f>
        <v>Sprint 6</v>
      </c>
      <c r="B36" s="83" t="s">
        <v>44</v>
      </c>
      <c r="C36" s="82" t="s">
        <v>75</v>
      </c>
      <c r="D36" s="82" t="s">
        <v>278</v>
      </c>
      <c r="E36" s="82" t="s">
        <v>81</v>
      </c>
      <c r="F36" s="82" t="s">
        <v>18</v>
      </c>
      <c r="G36" s="84">
        <v>2</v>
      </c>
      <c r="H36" s="85">
        <f>WORKDAY(I35,1)</f>
        <v>46059</v>
      </c>
      <c r="I36" s="85">
        <f t="shared" si="7"/>
        <v>46063</v>
      </c>
      <c r="J36" s="86">
        <f>G36/$N$5</f>
        <v>2</v>
      </c>
      <c r="K36" s="87" t="s">
        <v>22</v>
      </c>
    </row>
    <row r="37" spans="1:11">
      <c r="A37" s="51" t="str" cm="1">
        <f t="array" ref="A37">INDEX('Sprint Calendar'!$A:$A, MATCH(1, ('Project Planning - C'!I37 &gt;= 'Sprint Calendar'!$B:$B) * ('Project Planning - C'!H37 &lt;= 'Sprint Calendar'!$C:$C), 0))</f>
        <v>Sprint 1</v>
      </c>
      <c r="B37" s="81" t="s">
        <v>82</v>
      </c>
      <c r="C37" s="51" t="s">
        <v>45</v>
      </c>
      <c r="D37" s="51" t="s">
        <v>46</v>
      </c>
      <c r="E37" s="51" t="s">
        <v>83</v>
      </c>
      <c r="F37" s="51" t="s">
        <v>333</v>
      </c>
      <c r="G37" s="52">
        <v>3</v>
      </c>
      <c r="H37" s="53">
        <v>45992</v>
      </c>
      <c r="I37" s="53">
        <f t="shared" si="7"/>
        <v>46000</v>
      </c>
      <c r="J37" s="54">
        <f>G37/$N$6</f>
        <v>6</v>
      </c>
      <c r="K37" s="55" t="s">
        <v>22</v>
      </c>
    </row>
    <row r="38" spans="1:11">
      <c r="A38" s="51" t="str" cm="1">
        <f t="array" ref="A38">INDEX('Sprint Calendar'!$A:$A, MATCH(1, ('Project Planning - C'!I38 &gt;= 'Sprint Calendar'!$B:$B) * ('Project Planning - C'!H38 &lt;= 'Sprint Calendar'!$C:$C), 0))</f>
        <v>Sprint 2</v>
      </c>
      <c r="B38" s="81" t="s">
        <v>84</v>
      </c>
      <c r="C38" s="51" t="s">
        <v>45</v>
      </c>
      <c r="D38" s="51" t="s">
        <v>46</v>
      </c>
      <c r="E38" s="51" t="s">
        <v>85</v>
      </c>
      <c r="F38" s="51" t="s">
        <v>333</v>
      </c>
      <c r="G38" s="52">
        <v>3</v>
      </c>
      <c r="H38" s="53">
        <f>WORKDAY(I37,1)</f>
        <v>46001</v>
      </c>
      <c r="I38" s="53">
        <f t="shared" ref="I38:I99" si="8">WORKDAY(H38,J38)</f>
        <v>46009</v>
      </c>
      <c r="J38" s="54">
        <f t="shared" ref="J38:J42" si="9">G38/$N$6</f>
        <v>6</v>
      </c>
      <c r="K38" s="55" t="s">
        <v>22</v>
      </c>
    </row>
    <row r="39" spans="1:11">
      <c r="A39" s="51" t="str" cm="1">
        <f t="array" ref="A39">INDEX('Sprint Calendar'!$A:$A, MATCH(1, ('Project Planning - C'!I39 &gt;= 'Sprint Calendar'!$B:$B) * ('Project Planning - C'!H39 &lt;= 'Sprint Calendar'!$C:$C), 0))</f>
        <v>Sprint 2</v>
      </c>
      <c r="B39" s="81" t="s">
        <v>84</v>
      </c>
      <c r="C39" s="51" t="s">
        <v>45</v>
      </c>
      <c r="D39" s="51" t="s">
        <v>50</v>
      </c>
      <c r="E39" s="51" t="s">
        <v>51</v>
      </c>
      <c r="F39" s="51" t="s">
        <v>333</v>
      </c>
      <c r="G39" s="52">
        <v>4</v>
      </c>
      <c r="H39" s="53">
        <f t="shared" ref="H39:H81" si="10">WORKDAY(I38,1)</f>
        <v>46010</v>
      </c>
      <c r="I39" s="53">
        <f t="shared" si="8"/>
        <v>46022</v>
      </c>
      <c r="J39" s="54">
        <f t="shared" si="9"/>
        <v>8</v>
      </c>
      <c r="K39" s="55" t="s">
        <v>22</v>
      </c>
    </row>
    <row r="40" spans="1:11">
      <c r="A40" s="51" t="str" cm="1">
        <f t="array" ref="A40">INDEX('Sprint Calendar'!$A:$A, MATCH(1, ('Project Planning - C'!I40 &gt;= 'Sprint Calendar'!$B:$B) * ('Project Planning - C'!H40 &lt;= 'Sprint Calendar'!$C:$C), 0))</f>
        <v>Sprint 3</v>
      </c>
      <c r="B40" s="81" t="s">
        <v>84</v>
      </c>
      <c r="C40" s="51" t="s">
        <v>45</v>
      </c>
      <c r="D40" s="51" t="s">
        <v>50</v>
      </c>
      <c r="E40" s="51" t="s">
        <v>52</v>
      </c>
      <c r="F40" s="51" t="s">
        <v>333</v>
      </c>
      <c r="G40" s="52">
        <v>4</v>
      </c>
      <c r="H40" s="53">
        <f t="shared" si="10"/>
        <v>46023</v>
      </c>
      <c r="I40" s="53">
        <f t="shared" si="8"/>
        <v>46035</v>
      </c>
      <c r="J40" s="54">
        <f t="shared" si="9"/>
        <v>8</v>
      </c>
      <c r="K40" s="55" t="s">
        <v>22</v>
      </c>
    </row>
    <row r="41" spans="1:11">
      <c r="A41" s="51" t="str" cm="1">
        <f t="array" ref="A41">INDEX('Sprint Calendar'!$A:$A, MATCH(1, ('Project Planning - C'!I41 &gt;= 'Sprint Calendar'!$B:$B) * ('Project Planning - C'!H41 &lt;= 'Sprint Calendar'!$C:$C), 0))</f>
        <v>Sprint 4</v>
      </c>
      <c r="B41" s="81" t="s">
        <v>84</v>
      </c>
      <c r="C41" s="51" t="s">
        <v>45</v>
      </c>
      <c r="D41" s="51" t="s">
        <v>50</v>
      </c>
      <c r="E41" s="51" t="s">
        <v>54</v>
      </c>
      <c r="F41" s="51" t="s">
        <v>333</v>
      </c>
      <c r="G41" s="52">
        <v>2</v>
      </c>
      <c r="H41" s="53">
        <f t="shared" si="10"/>
        <v>46036</v>
      </c>
      <c r="I41" s="53">
        <f t="shared" si="8"/>
        <v>46042</v>
      </c>
      <c r="J41" s="54">
        <f t="shared" si="9"/>
        <v>4</v>
      </c>
      <c r="K41" s="55" t="s">
        <v>22</v>
      </c>
    </row>
    <row r="42" spans="1:11">
      <c r="A42" s="51" t="str" cm="1">
        <f t="array" ref="A42">INDEX('Sprint Calendar'!$A:$A, MATCH(1, ('Project Planning - C'!I42 &gt;= 'Sprint Calendar'!$B:$B) * ('Project Planning - C'!H42 &lt;= 'Sprint Calendar'!$C:$C), 0))</f>
        <v>Sprint 5</v>
      </c>
      <c r="B42" s="81" t="s">
        <v>84</v>
      </c>
      <c r="C42" s="51" t="s">
        <v>45</v>
      </c>
      <c r="D42" s="51" t="s">
        <v>278</v>
      </c>
      <c r="E42" s="51" t="s">
        <v>56</v>
      </c>
      <c r="F42" s="51" t="s">
        <v>333</v>
      </c>
      <c r="G42" s="52">
        <v>3</v>
      </c>
      <c r="H42" s="53">
        <f t="shared" si="10"/>
        <v>46043</v>
      </c>
      <c r="I42" s="53">
        <f t="shared" si="8"/>
        <v>46051</v>
      </c>
      <c r="J42" s="54">
        <f t="shared" si="9"/>
        <v>6</v>
      </c>
      <c r="K42" s="55" t="s">
        <v>22</v>
      </c>
    </row>
    <row r="43" spans="1:11">
      <c r="A43" s="51" t="str" cm="1">
        <f t="array" ref="A43">INDEX('Sprint Calendar'!$A:$A, MATCH(1, ('Project Planning - C'!I43 &gt;= 'Sprint Calendar'!$B:$B) * ('Project Planning - C'!H43 &lt;= 'Sprint Calendar'!$C:$C), 0))</f>
        <v>Sprint 4</v>
      </c>
      <c r="B43" s="81" t="s">
        <v>84</v>
      </c>
      <c r="C43" s="77" t="s">
        <v>87</v>
      </c>
      <c r="D43" s="51" t="s">
        <v>46</v>
      </c>
      <c r="E43" s="51" t="s">
        <v>88</v>
      </c>
      <c r="F43" s="51" t="s">
        <v>86</v>
      </c>
      <c r="G43" s="52">
        <v>2</v>
      </c>
      <c r="H43" s="53">
        <v>46027</v>
      </c>
      <c r="I43" s="53">
        <f t="shared" ref="I43:I67" si="11">WORKDAY(H43,J43)</f>
        <v>46029</v>
      </c>
      <c r="J43" s="54">
        <f>G43/$N$7</f>
        <v>2</v>
      </c>
      <c r="K43" s="55" t="s">
        <v>22</v>
      </c>
    </row>
    <row r="44" spans="1:11">
      <c r="A44" s="51" t="str" cm="1">
        <f t="array" ref="A44">INDEX('Sprint Calendar'!$A:$A, MATCH(1, ('Project Planning - C'!I44 &gt;= 'Sprint Calendar'!$B:$B) * ('Project Planning - C'!H44 &lt;= 'Sprint Calendar'!$C:$C), 0))</f>
        <v>Sprint 4</v>
      </c>
      <c r="B44" s="81" t="s">
        <v>84</v>
      </c>
      <c r="C44" s="77" t="s">
        <v>87</v>
      </c>
      <c r="D44" s="51" t="s">
        <v>46</v>
      </c>
      <c r="E44" s="51" t="s">
        <v>89</v>
      </c>
      <c r="F44" s="51" t="s">
        <v>86</v>
      </c>
      <c r="G44" s="52">
        <v>2</v>
      </c>
      <c r="H44" s="53">
        <f t="shared" ref="H44:H50" si="12">WORKDAY(I43,1)</f>
        <v>46030</v>
      </c>
      <c r="I44" s="53">
        <f t="shared" si="11"/>
        <v>46034</v>
      </c>
      <c r="J44" s="54">
        <f t="shared" ref="J44:J51" si="13">G44/$N$7</f>
        <v>2</v>
      </c>
      <c r="K44" s="55" t="s">
        <v>22</v>
      </c>
    </row>
    <row r="45" spans="1:11">
      <c r="A45" s="51" t="str" cm="1">
        <f t="array" ref="A45">INDEX('Sprint Calendar'!$A:$A, MATCH(1, ('Project Planning - C'!I45 &gt;= 'Sprint Calendar'!$B:$B) * ('Project Planning - C'!H45 &lt;= 'Sprint Calendar'!$C:$C), 0))</f>
        <v>Sprint 4</v>
      </c>
      <c r="B45" s="81" t="s">
        <v>84</v>
      </c>
      <c r="C45" s="77" t="s">
        <v>87</v>
      </c>
      <c r="D45" s="51" t="s">
        <v>50</v>
      </c>
      <c r="E45" s="51" t="s">
        <v>90</v>
      </c>
      <c r="F45" s="51" t="s">
        <v>86</v>
      </c>
      <c r="G45" s="52">
        <v>5</v>
      </c>
      <c r="H45" s="53">
        <f t="shared" si="12"/>
        <v>46035</v>
      </c>
      <c r="I45" s="53">
        <f t="shared" si="11"/>
        <v>46042</v>
      </c>
      <c r="J45" s="54">
        <f t="shared" si="13"/>
        <v>5</v>
      </c>
      <c r="K45" s="55" t="s">
        <v>22</v>
      </c>
    </row>
    <row r="46" spans="1:11">
      <c r="A46" s="51" t="str" cm="1">
        <f t="array" ref="A46">INDEX('Sprint Calendar'!$A:$A, MATCH(1, ('Project Planning - C'!I46 &gt;= 'Sprint Calendar'!$B:$B) * ('Project Planning - C'!H46 &lt;= 'Sprint Calendar'!$C:$C), 0))</f>
        <v>Sprint 5</v>
      </c>
      <c r="B46" s="81" t="s">
        <v>84</v>
      </c>
      <c r="C46" s="77" t="s">
        <v>87</v>
      </c>
      <c r="D46" s="51" t="s">
        <v>50</v>
      </c>
      <c r="E46" s="51" t="s">
        <v>91</v>
      </c>
      <c r="F46" s="51" t="s">
        <v>86</v>
      </c>
      <c r="G46" s="52">
        <v>5</v>
      </c>
      <c r="H46" s="53">
        <f t="shared" si="12"/>
        <v>46043</v>
      </c>
      <c r="I46" s="53">
        <f t="shared" si="11"/>
        <v>46050</v>
      </c>
      <c r="J46" s="54">
        <f t="shared" si="13"/>
        <v>5</v>
      </c>
      <c r="K46" s="55" t="s">
        <v>22</v>
      </c>
    </row>
    <row r="47" spans="1:11">
      <c r="A47" s="51" t="str" cm="1">
        <f t="array" ref="A47">INDEX('Sprint Calendar'!$A:$A, MATCH(1, ('Project Planning - C'!I47 &gt;= 'Sprint Calendar'!$B:$B) * ('Project Planning - C'!H47 &lt;= 'Sprint Calendar'!$C:$C), 0))</f>
        <v>Sprint 5</v>
      </c>
      <c r="B47" s="81" t="s">
        <v>84</v>
      </c>
      <c r="C47" s="77" t="s">
        <v>87</v>
      </c>
      <c r="D47" s="51" t="s">
        <v>278</v>
      </c>
      <c r="E47" s="51" t="s">
        <v>92</v>
      </c>
      <c r="F47" s="51" t="s">
        <v>86</v>
      </c>
      <c r="G47" s="52">
        <v>2</v>
      </c>
      <c r="H47" s="53">
        <f t="shared" si="12"/>
        <v>46051</v>
      </c>
      <c r="I47" s="53">
        <f t="shared" si="11"/>
        <v>46055</v>
      </c>
      <c r="J47" s="54">
        <f t="shared" si="13"/>
        <v>2</v>
      </c>
      <c r="K47" s="55" t="s">
        <v>22</v>
      </c>
    </row>
    <row r="48" spans="1:11">
      <c r="A48" s="51" t="str" cm="1">
        <f t="array" ref="A48">INDEX('Sprint Calendar'!$A:$A, MATCH(1, ('Project Planning - C'!I48 &gt;= 'Sprint Calendar'!$B:$B) * ('Project Planning - C'!H48 &lt;= 'Sprint Calendar'!$C:$C), 0))</f>
        <v>Sprint 6</v>
      </c>
      <c r="B48" s="81" t="s">
        <v>84</v>
      </c>
      <c r="C48" s="77" t="s">
        <v>93</v>
      </c>
      <c r="D48" s="51" t="s">
        <v>46</v>
      </c>
      <c r="E48" s="51" t="s">
        <v>94</v>
      </c>
      <c r="F48" s="51" t="s">
        <v>86</v>
      </c>
      <c r="G48" s="52">
        <v>2</v>
      </c>
      <c r="H48" s="53">
        <f t="shared" si="12"/>
        <v>46056</v>
      </c>
      <c r="I48" s="53">
        <f t="shared" si="11"/>
        <v>46058</v>
      </c>
      <c r="J48" s="54">
        <f t="shared" si="13"/>
        <v>2</v>
      </c>
      <c r="K48" s="55" t="s">
        <v>22</v>
      </c>
    </row>
    <row r="49" spans="1:11">
      <c r="A49" s="51" t="str" cm="1">
        <f t="array" ref="A49">INDEX('Sprint Calendar'!$A:$A, MATCH(1, ('Project Planning - C'!I49 &gt;= 'Sprint Calendar'!$B:$B) * ('Project Planning - C'!H49 &lt;= 'Sprint Calendar'!$C:$C), 0))</f>
        <v>Sprint 6</v>
      </c>
      <c r="B49" s="81" t="s">
        <v>84</v>
      </c>
      <c r="C49" s="77" t="s">
        <v>93</v>
      </c>
      <c r="D49" s="51" t="s">
        <v>46</v>
      </c>
      <c r="E49" s="51" t="s">
        <v>95</v>
      </c>
      <c r="F49" s="51" t="s">
        <v>86</v>
      </c>
      <c r="G49" s="52">
        <v>2</v>
      </c>
      <c r="H49" s="53">
        <f t="shared" si="12"/>
        <v>46059</v>
      </c>
      <c r="I49" s="53">
        <f t="shared" si="11"/>
        <v>46063</v>
      </c>
      <c r="J49" s="54">
        <f t="shared" si="13"/>
        <v>2</v>
      </c>
      <c r="K49" s="55" t="s">
        <v>22</v>
      </c>
    </row>
    <row r="50" spans="1:11">
      <c r="A50" s="51" t="str" cm="1">
        <f t="array" ref="A50">INDEX('Sprint Calendar'!$A:$A, MATCH(1, ('Project Planning - C'!I50 &gt;= 'Sprint Calendar'!$B:$B) * ('Project Planning - C'!H50 &lt;= 'Sprint Calendar'!$C:$C), 0))</f>
        <v>Sprint 6</v>
      </c>
      <c r="B50" s="81" t="s">
        <v>84</v>
      </c>
      <c r="C50" s="77" t="s">
        <v>93</v>
      </c>
      <c r="D50" s="51" t="s">
        <v>50</v>
      </c>
      <c r="E50" s="51" t="s">
        <v>96</v>
      </c>
      <c r="F50" s="51" t="s">
        <v>86</v>
      </c>
      <c r="G50" s="52">
        <v>5</v>
      </c>
      <c r="H50" s="53">
        <f t="shared" si="12"/>
        <v>46064</v>
      </c>
      <c r="I50" s="53">
        <f t="shared" si="11"/>
        <v>46071</v>
      </c>
      <c r="J50" s="54">
        <f t="shared" si="13"/>
        <v>5</v>
      </c>
      <c r="K50" s="55" t="s">
        <v>22</v>
      </c>
    </row>
    <row r="51" spans="1:11">
      <c r="A51" s="51" t="str" cm="1">
        <f t="array" ref="A51">INDEX('Sprint Calendar'!$A:$A, MATCH(1, ('Project Planning - C'!I51 &gt;= 'Sprint Calendar'!$B:$B) * ('Project Planning - C'!H51 &lt;= 'Sprint Calendar'!$C:$C), 0))</f>
        <v>Sprint 7</v>
      </c>
      <c r="B51" s="81" t="s">
        <v>84</v>
      </c>
      <c r="C51" s="77" t="s">
        <v>93</v>
      </c>
      <c r="D51" s="51" t="s">
        <v>50</v>
      </c>
      <c r="E51" s="51" t="s">
        <v>98</v>
      </c>
      <c r="F51" s="51" t="s">
        <v>86</v>
      </c>
      <c r="G51" s="52">
        <v>5</v>
      </c>
      <c r="H51" s="53">
        <v>46076</v>
      </c>
      <c r="I51" s="53">
        <f t="shared" si="11"/>
        <v>46083</v>
      </c>
      <c r="J51" s="54">
        <f t="shared" si="13"/>
        <v>5</v>
      </c>
      <c r="K51" s="55" t="s">
        <v>22</v>
      </c>
    </row>
    <row r="52" spans="1:11">
      <c r="A52" s="51" t="str" cm="1">
        <f t="array" ref="A52">INDEX('Sprint Calendar'!$A:$A, MATCH(1, ('Project Planning - C'!I52 &gt;= 'Sprint Calendar'!$B:$B) * ('Project Planning - C'!H52 &lt;= 'Sprint Calendar'!$C:$C), 0))</f>
        <v>Sprint 8</v>
      </c>
      <c r="B52" s="81" t="s">
        <v>84</v>
      </c>
      <c r="C52" s="77" t="s">
        <v>93</v>
      </c>
      <c r="D52" s="51" t="s">
        <v>278</v>
      </c>
      <c r="E52" s="51" t="s">
        <v>101</v>
      </c>
      <c r="F52" s="51" t="s">
        <v>86</v>
      </c>
      <c r="G52" s="52">
        <v>2</v>
      </c>
      <c r="H52" s="53">
        <f>WORKDAY(I51,1)</f>
        <v>46084</v>
      </c>
      <c r="I52" s="53">
        <f t="shared" si="11"/>
        <v>46086</v>
      </c>
      <c r="J52" s="54">
        <f>G52/$N$7</f>
        <v>2</v>
      </c>
      <c r="K52" s="55" t="s">
        <v>22</v>
      </c>
    </row>
    <row r="53" spans="1:11">
      <c r="A53" s="51" t="str" cm="1">
        <f t="array" ref="A53">INDEX('Sprint Calendar'!$A:$A, MATCH(1, ('Project Planning - C'!I53 &gt;= 'Sprint Calendar'!$B:$B) * ('Project Planning - C'!H53 &lt;= 'Sprint Calendar'!$C:$C), 0))</f>
        <v>Sprint 6</v>
      </c>
      <c r="B53" s="81" t="s">
        <v>84</v>
      </c>
      <c r="C53" s="77" t="s">
        <v>102</v>
      </c>
      <c r="D53" s="51" t="s">
        <v>46</v>
      </c>
      <c r="E53" s="51" t="s">
        <v>103</v>
      </c>
      <c r="F53" s="51" t="s">
        <v>18</v>
      </c>
      <c r="G53" s="52">
        <v>2</v>
      </c>
      <c r="H53" s="53">
        <f>WORKDAY(I36,1)</f>
        <v>46064</v>
      </c>
      <c r="I53" s="53">
        <f t="shared" si="11"/>
        <v>46066</v>
      </c>
      <c r="J53" s="54">
        <f t="shared" ref="J53:J72" si="14">G53/$N$5</f>
        <v>2</v>
      </c>
      <c r="K53" s="55" t="s">
        <v>22</v>
      </c>
    </row>
    <row r="54" spans="1:11">
      <c r="A54" s="51" t="str" cm="1">
        <f t="array" ref="A54">INDEX('Sprint Calendar'!$A:$A, MATCH(1, ('Project Planning - C'!I54 &gt;= 'Sprint Calendar'!$B:$B) * ('Project Planning - C'!H54 &lt;= 'Sprint Calendar'!$C:$C), 0))</f>
        <v>Sprint 7</v>
      </c>
      <c r="B54" s="81" t="s">
        <v>84</v>
      </c>
      <c r="C54" s="77" t="s">
        <v>102</v>
      </c>
      <c r="D54" s="51" t="s">
        <v>46</v>
      </c>
      <c r="E54" s="51" t="s">
        <v>104</v>
      </c>
      <c r="F54" s="51" t="s">
        <v>18</v>
      </c>
      <c r="G54" s="52">
        <v>2</v>
      </c>
      <c r="H54" s="53">
        <v>46076</v>
      </c>
      <c r="I54" s="53">
        <f t="shared" si="11"/>
        <v>46078</v>
      </c>
      <c r="J54" s="54">
        <f t="shared" si="14"/>
        <v>2</v>
      </c>
      <c r="K54" s="55" t="s">
        <v>22</v>
      </c>
    </row>
    <row r="55" spans="1:11">
      <c r="A55" s="51" t="str" cm="1">
        <f t="array" ref="A55">INDEX('Sprint Calendar'!$A:$A, MATCH(1, ('Project Planning - C'!I55 &gt;= 'Sprint Calendar'!$B:$B) * ('Project Planning - C'!H55 &lt;= 'Sprint Calendar'!$C:$C), 0))</f>
        <v>Sprint 7</v>
      </c>
      <c r="B55" s="81" t="s">
        <v>84</v>
      </c>
      <c r="C55" s="77" t="s">
        <v>102</v>
      </c>
      <c r="D55" s="51" t="s">
        <v>50</v>
      </c>
      <c r="E55" s="51" t="s">
        <v>105</v>
      </c>
      <c r="F55" s="51" t="s">
        <v>18</v>
      </c>
      <c r="G55" s="52">
        <v>5</v>
      </c>
      <c r="H55" s="53">
        <f t="shared" ref="H55:H67" si="15">WORKDAY(I54,1)</f>
        <v>46079</v>
      </c>
      <c r="I55" s="53">
        <f t="shared" si="11"/>
        <v>46086</v>
      </c>
      <c r="J55" s="54">
        <f t="shared" si="14"/>
        <v>5</v>
      </c>
      <c r="K55" s="55" t="s">
        <v>22</v>
      </c>
    </row>
    <row r="56" spans="1:11">
      <c r="A56" s="51" t="str" cm="1">
        <f t="array" ref="A56">INDEX('Sprint Calendar'!$A:$A, MATCH(1, ('Project Planning - C'!I56 &gt;= 'Sprint Calendar'!$B:$B) * ('Project Planning - C'!H56 &lt;= 'Sprint Calendar'!$C:$C), 0))</f>
        <v>Sprint 8</v>
      </c>
      <c r="B56" s="81" t="s">
        <v>84</v>
      </c>
      <c r="C56" s="77" t="s">
        <v>102</v>
      </c>
      <c r="D56" s="51" t="s">
        <v>50</v>
      </c>
      <c r="E56" s="51" t="s">
        <v>106</v>
      </c>
      <c r="F56" s="51" t="s">
        <v>18</v>
      </c>
      <c r="G56" s="52">
        <v>5</v>
      </c>
      <c r="H56" s="53">
        <f t="shared" si="15"/>
        <v>46087</v>
      </c>
      <c r="I56" s="53">
        <f t="shared" si="11"/>
        <v>46094</v>
      </c>
      <c r="J56" s="54">
        <f t="shared" si="14"/>
        <v>5</v>
      </c>
      <c r="K56" s="55" t="s">
        <v>22</v>
      </c>
    </row>
    <row r="57" spans="1:11">
      <c r="A57" s="51" t="str" cm="1">
        <f t="array" ref="A57">INDEX('Sprint Calendar'!$A:$A, MATCH(1, ('Project Planning - C'!I57 &gt;= 'Sprint Calendar'!$B:$B) * ('Project Planning - C'!H57 &lt;= 'Sprint Calendar'!$C:$C), 0))</f>
        <v>Sprint 9</v>
      </c>
      <c r="B57" s="81" t="s">
        <v>84</v>
      </c>
      <c r="C57" s="77" t="s">
        <v>102</v>
      </c>
      <c r="D57" s="51" t="s">
        <v>278</v>
      </c>
      <c r="E57" s="51" t="s">
        <v>108</v>
      </c>
      <c r="F57" s="51" t="s">
        <v>18</v>
      </c>
      <c r="G57" s="52">
        <v>2</v>
      </c>
      <c r="H57" s="53">
        <f t="shared" si="15"/>
        <v>46097</v>
      </c>
      <c r="I57" s="53">
        <f t="shared" si="11"/>
        <v>46099</v>
      </c>
      <c r="J57" s="54">
        <f t="shared" si="14"/>
        <v>2</v>
      </c>
      <c r="K57" s="55" t="s">
        <v>22</v>
      </c>
    </row>
    <row r="58" spans="1:11">
      <c r="A58" s="51" t="str" cm="1">
        <f t="array" ref="A58">INDEX('Sprint Calendar'!$A:$A, MATCH(1, ('Project Planning - C'!I58 &gt;= 'Sprint Calendar'!$B:$B) * ('Project Planning - C'!H58 &lt;= 'Sprint Calendar'!$C:$C), 0))</f>
        <v>Sprint 9</v>
      </c>
      <c r="B58" s="81" t="s">
        <v>84</v>
      </c>
      <c r="C58" s="77" t="s">
        <v>109</v>
      </c>
      <c r="D58" s="51" t="s">
        <v>46</v>
      </c>
      <c r="E58" s="51" t="s">
        <v>110</v>
      </c>
      <c r="F58" s="51" t="s">
        <v>18</v>
      </c>
      <c r="G58" s="52">
        <v>2</v>
      </c>
      <c r="H58" s="53">
        <f t="shared" si="15"/>
        <v>46100</v>
      </c>
      <c r="I58" s="53">
        <f t="shared" si="11"/>
        <v>46104</v>
      </c>
      <c r="J58" s="54">
        <f t="shared" si="14"/>
        <v>2</v>
      </c>
      <c r="K58" s="55" t="s">
        <v>22</v>
      </c>
    </row>
    <row r="59" spans="1:11">
      <c r="A59" s="51" t="str" cm="1">
        <f t="array" ref="A59">INDEX('Sprint Calendar'!$A:$A, MATCH(1, ('Project Planning - C'!I59 &gt;= 'Sprint Calendar'!$B:$B) * ('Project Planning - C'!H59 &lt;= 'Sprint Calendar'!$C:$C), 0))</f>
        <v>Sprint 9</v>
      </c>
      <c r="B59" s="81" t="s">
        <v>84</v>
      </c>
      <c r="C59" s="77" t="s">
        <v>109</v>
      </c>
      <c r="D59" s="51" t="s">
        <v>46</v>
      </c>
      <c r="E59" s="51" t="s">
        <v>111</v>
      </c>
      <c r="F59" s="51" t="s">
        <v>18</v>
      </c>
      <c r="G59" s="52">
        <v>2</v>
      </c>
      <c r="H59" s="53">
        <f t="shared" si="15"/>
        <v>46105</v>
      </c>
      <c r="I59" s="53">
        <f t="shared" si="11"/>
        <v>46107</v>
      </c>
      <c r="J59" s="54">
        <f t="shared" si="14"/>
        <v>2</v>
      </c>
      <c r="K59" s="55" t="s">
        <v>22</v>
      </c>
    </row>
    <row r="60" spans="1:11">
      <c r="A60" s="51" t="str" cm="1">
        <f t="array" ref="A60">INDEX('Sprint Calendar'!$A:$A, MATCH(1, ('Project Planning - C'!I60 &gt;= 'Sprint Calendar'!$B:$B) * ('Project Planning - C'!H60 &lt;= 'Sprint Calendar'!$C:$C), 0))</f>
        <v>Sprint 9</v>
      </c>
      <c r="B60" s="81" t="s">
        <v>84</v>
      </c>
      <c r="C60" s="77" t="s">
        <v>109</v>
      </c>
      <c r="D60" s="51" t="s">
        <v>50</v>
      </c>
      <c r="E60" s="51" t="s">
        <v>112</v>
      </c>
      <c r="F60" s="51" t="s">
        <v>18</v>
      </c>
      <c r="G60" s="52">
        <v>5</v>
      </c>
      <c r="H60" s="53">
        <f t="shared" si="15"/>
        <v>46108</v>
      </c>
      <c r="I60" s="53">
        <f t="shared" si="11"/>
        <v>46115</v>
      </c>
      <c r="J60" s="54">
        <f t="shared" si="14"/>
        <v>5</v>
      </c>
      <c r="K60" s="55" t="s">
        <v>22</v>
      </c>
    </row>
    <row r="61" spans="1:11">
      <c r="A61" s="51" t="str" cm="1">
        <f t="array" ref="A61">INDEX('Sprint Calendar'!$A:$A, MATCH(1, ('Project Planning - C'!I61 &gt;= 'Sprint Calendar'!$B:$B) * ('Project Planning - C'!H61 &lt;= 'Sprint Calendar'!$C:$C), 0))</f>
        <v>Sprint 10</v>
      </c>
      <c r="B61" s="81" t="s">
        <v>84</v>
      </c>
      <c r="C61" s="77" t="s">
        <v>109</v>
      </c>
      <c r="D61" s="51" t="s">
        <v>50</v>
      </c>
      <c r="E61" s="51" t="s">
        <v>114</v>
      </c>
      <c r="F61" s="51" t="s">
        <v>18</v>
      </c>
      <c r="G61" s="52">
        <v>5</v>
      </c>
      <c r="H61" s="53">
        <f t="shared" si="15"/>
        <v>46118</v>
      </c>
      <c r="I61" s="53">
        <f t="shared" si="11"/>
        <v>46125</v>
      </c>
      <c r="J61" s="54">
        <f t="shared" si="14"/>
        <v>5</v>
      </c>
      <c r="K61" s="55" t="s">
        <v>22</v>
      </c>
    </row>
    <row r="62" spans="1:11">
      <c r="A62" s="51" t="str" cm="1">
        <f t="array" ref="A62">INDEX('Sprint Calendar'!$A:$A, MATCH(1, ('Project Planning - C'!I62 &gt;= 'Sprint Calendar'!$B:$B) * ('Project Planning - C'!H62 &lt;= 'Sprint Calendar'!$C:$C), 0))</f>
        <v>Sprint 11</v>
      </c>
      <c r="B62" s="81" t="s">
        <v>84</v>
      </c>
      <c r="C62" s="77" t="s">
        <v>109</v>
      </c>
      <c r="D62" s="51" t="s">
        <v>278</v>
      </c>
      <c r="E62" s="51" t="s">
        <v>116</v>
      </c>
      <c r="F62" s="51" t="s">
        <v>18</v>
      </c>
      <c r="G62" s="52">
        <v>2</v>
      </c>
      <c r="H62" s="53">
        <f t="shared" si="15"/>
        <v>46126</v>
      </c>
      <c r="I62" s="53">
        <f t="shared" si="11"/>
        <v>46128</v>
      </c>
      <c r="J62" s="54">
        <f t="shared" si="14"/>
        <v>2</v>
      </c>
      <c r="K62" s="55" t="s">
        <v>22</v>
      </c>
    </row>
    <row r="63" spans="1:11">
      <c r="A63" s="51" t="str" cm="1">
        <f t="array" ref="A63">INDEX('Sprint Calendar'!$A:$A, MATCH(1, ('Project Planning - C'!I63 &gt;= 'Sprint Calendar'!$B:$B) * ('Project Planning - C'!H63 &lt;= 'Sprint Calendar'!$C:$C), 0))</f>
        <v>Sprint 11</v>
      </c>
      <c r="B63" s="81" t="s">
        <v>84</v>
      </c>
      <c r="C63" s="77" t="s">
        <v>117</v>
      </c>
      <c r="D63" s="51" t="s">
        <v>46</v>
      </c>
      <c r="E63" s="51" t="s">
        <v>118</v>
      </c>
      <c r="F63" s="51" t="s">
        <v>18</v>
      </c>
      <c r="G63" s="52">
        <v>1</v>
      </c>
      <c r="H63" s="53">
        <f t="shared" si="15"/>
        <v>46129</v>
      </c>
      <c r="I63" s="53">
        <f t="shared" si="11"/>
        <v>46132</v>
      </c>
      <c r="J63" s="54">
        <f t="shared" si="14"/>
        <v>1</v>
      </c>
      <c r="K63" s="55" t="s">
        <v>22</v>
      </c>
    </row>
    <row r="64" spans="1:11">
      <c r="A64" s="51" t="str" cm="1">
        <f t="array" ref="A64">INDEX('Sprint Calendar'!$A:$A, MATCH(1, ('Project Planning - C'!I64 &gt;= 'Sprint Calendar'!$B:$B) * ('Project Planning - C'!H64 &lt;= 'Sprint Calendar'!$C:$C), 0))</f>
        <v>Sprint 11</v>
      </c>
      <c r="B64" s="81" t="s">
        <v>84</v>
      </c>
      <c r="C64" s="77" t="s">
        <v>117</v>
      </c>
      <c r="D64" s="51" t="s">
        <v>46</v>
      </c>
      <c r="E64" s="51" t="s">
        <v>119</v>
      </c>
      <c r="F64" s="51" t="s">
        <v>18</v>
      </c>
      <c r="G64" s="52">
        <v>2</v>
      </c>
      <c r="H64" s="53">
        <f t="shared" si="15"/>
        <v>46133</v>
      </c>
      <c r="I64" s="53">
        <f t="shared" si="11"/>
        <v>46135</v>
      </c>
      <c r="J64" s="54">
        <f t="shared" si="14"/>
        <v>2</v>
      </c>
      <c r="K64" s="55" t="s">
        <v>22</v>
      </c>
    </row>
    <row r="65" spans="1:11">
      <c r="A65" s="51" t="str" cm="1">
        <f t="array" ref="A65">INDEX('Sprint Calendar'!$A:$A, MATCH(1, ('Project Planning - C'!I65 &gt;= 'Sprint Calendar'!$B:$B) * ('Project Planning - C'!H65 &lt;= 'Sprint Calendar'!$C:$C), 0))</f>
        <v>Sprint 11</v>
      </c>
      <c r="B65" s="81" t="s">
        <v>84</v>
      </c>
      <c r="C65" s="77" t="s">
        <v>117</v>
      </c>
      <c r="D65" s="51" t="s">
        <v>50</v>
      </c>
      <c r="E65" s="51" t="s">
        <v>120</v>
      </c>
      <c r="F65" s="51" t="s">
        <v>18</v>
      </c>
      <c r="G65" s="52">
        <v>2</v>
      </c>
      <c r="H65" s="53">
        <f t="shared" si="15"/>
        <v>46136</v>
      </c>
      <c r="I65" s="53">
        <f t="shared" si="11"/>
        <v>46140</v>
      </c>
      <c r="J65" s="54">
        <f t="shared" si="14"/>
        <v>2</v>
      </c>
      <c r="K65" s="55" t="s">
        <v>22</v>
      </c>
    </row>
    <row r="66" spans="1:11">
      <c r="A66" s="51" t="str" cm="1">
        <f t="array" ref="A66">INDEX('Sprint Calendar'!$A:$A, MATCH(1, ('Project Planning - C'!I66 &gt;= 'Sprint Calendar'!$B:$B) * ('Project Planning - C'!H66 &lt;= 'Sprint Calendar'!$C:$C), 0))</f>
        <v>Sprint 12</v>
      </c>
      <c r="B66" s="81" t="s">
        <v>84</v>
      </c>
      <c r="C66" s="77" t="s">
        <v>117</v>
      </c>
      <c r="D66" s="51" t="s">
        <v>50</v>
      </c>
      <c r="E66" s="51" t="s">
        <v>122</v>
      </c>
      <c r="F66" s="51" t="s">
        <v>18</v>
      </c>
      <c r="G66" s="52">
        <v>2</v>
      </c>
      <c r="H66" s="53">
        <f t="shared" si="15"/>
        <v>46141</v>
      </c>
      <c r="I66" s="53">
        <f t="shared" si="11"/>
        <v>46143</v>
      </c>
      <c r="J66" s="54">
        <f t="shared" si="14"/>
        <v>2</v>
      </c>
      <c r="K66" s="55" t="s">
        <v>22</v>
      </c>
    </row>
    <row r="67" spans="1:11">
      <c r="A67" s="51" t="str" cm="1">
        <f t="array" ref="A67">INDEX('Sprint Calendar'!$A:$A, MATCH(1, ('Project Planning - C'!I67 &gt;= 'Sprint Calendar'!$B:$B) * ('Project Planning - C'!H67 &lt;= 'Sprint Calendar'!$C:$C), 0))</f>
        <v>Sprint 12</v>
      </c>
      <c r="B67" s="81" t="s">
        <v>84</v>
      </c>
      <c r="C67" s="77" t="s">
        <v>117</v>
      </c>
      <c r="D67" s="51" t="s">
        <v>278</v>
      </c>
      <c r="E67" s="51" t="s">
        <v>123</v>
      </c>
      <c r="F67" s="51" t="s">
        <v>18</v>
      </c>
      <c r="G67" s="52">
        <v>2</v>
      </c>
      <c r="H67" s="53">
        <f t="shared" si="15"/>
        <v>46146</v>
      </c>
      <c r="I67" s="53">
        <f t="shared" si="11"/>
        <v>46148</v>
      </c>
      <c r="J67" s="54">
        <f t="shared" si="14"/>
        <v>2</v>
      </c>
      <c r="K67" s="55" t="s">
        <v>22</v>
      </c>
    </row>
    <row r="68" spans="1:11">
      <c r="A68" s="51" t="str" cm="1">
        <f t="array" ref="A68">INDEX('Sprint Calendar'!$A:$A, MATCH(1, ('Project Planning - C'!I68 &gt;= 'Sprint Calendar'!$B:$B) * ('Project Planning - C'!H68 &lt;= 'Sprint Calendar'!$C:$C), 0))</f>
        <v>Sprint 12</v>
      </c>
      <c r="B68" s="81" t="s">
        <v>84</v>
      </c>
      <c r="C68" s="77" t="s">
        <v>124</v>
      </c>
      <c r="D68" s="51" t="s">
        <v>46</v>
      </c>
      <c r="E68" s="51" t="s">
        <v>118</v>
      </c>
      <c r="F68" s="51" t="s">
        <v>18</v>
      </c>
      <c r="G68" s="52">
        <v>1</v>
      </c>
      <c r="H68" s="53">
        <f t="shared" ref="H68:H72" si="16">WORKDAY(I67,1)</f>
        <v>46149</v>
      </c>
      <c r="I68" s="53">
        <f t="shared" ref="I68:I72" si="17">WORKDAY(H68,J68)</f>
        <v>46150</v>
      </c>
      <c r="J68" s="54">
        <f t="shared" si="14"/>
        <v>1</v>
      </c>
      <c r="K68" s="55" t="s">
        <v>22</v>
      </c>
    </row>
    <row r="69" spans="1:11">
      <c r="A69" s="51" t="str" cm="1">
        <f t="array" ref="A69">INDEX('Sprint Calendar'!$A:$A, MATCH(1, ('Project Planning - C'!I69 &gt;= 'Sprint Calendar'!$B:$B) * ('Project Planning - C'!H69 &lt;= 'Sprint Calendar'!$C:$C), 0))</f>
        <v>Sprint 13</v>
      </c>
      <c r="B69" s="81" t="s">
        <v>84</v>
      </c>
      <c r="C69" s="77" t="s">
        <v>124</v>
      </c>
      <c r="D69" s="51" t="s">
        <v>46</v>
      </c>
      <c r="E69" s="51" t="s">
        <v>119</v>
      </c>
      <c r="F69" s="51" t="s">
        <v>18</v>
      </c>
      <c r="G69" s="52">
        <v>2</v>
      </c>
      <c r="H69" s="53">
        <f t="shared" si="16"/>
        <v>46153</v>
      </c>
      <c r="I69" s="53">
        <f t="shared" si="17"/>
        <v>46155</v>
      </c>
      <c r="J69" s="54">
        <f t="shared" si="14"/>
        <v>2</v>
      </c>
      <c r="K69" s="55" t="s">
        <v>22</v>
      </c>
    </row>
    <row r="70" spans="1:11">
      <c r="A70" s="51" t="str" cm="1">
        <f t="array" ref="A70">INDEX('Sprint Calendar'!$A:$A, MATCH(1, ('Project Planning - C'!I70 &gt;= 'Sprint Calendar'!$B:$B) * ('Project Planning - C'!H70 &lt;= 'Sprint Calendar'!$C:$C), 0))</f>
        <v>Sprint 13</v>
      </c>
      <c r="B70" s="81" t="s">
        <v>84</v>
      </c>
      <c r="C70" s="77" t="s">
        <v>124</v>
      </c>
      <c r="D70" s="51" t="s">
        <v>50</v>
      </c>
      <c r="E70" s="51" t="s">
        <v>120</v>
      </c>
      <c r="F70" s="51" t="s">
        <v>18</v>
      </c>
      <c r="G70" s="52">
        <v>2</v>
      </c>
      <c r="H70" s="53">
        <f t="shared" si="16"/>
        <v>46156</v>
      </c>
      <c r="I70" s="53">
        <f t="shared" si="17"/>
        <v>46160</v>
      </c>
      <c r="J70" s="54">
        <f t="shared" si="14"/>
        <v>2</v>
      </c>
      <c r="K70" s="55" t="s">
        <v>22</v>
      </c>
    </row>
    <row r="71" spans="1:11">
      <c r="A71" s="51" t="str" cm="1">
        <f t="array" ref="A71">INDEX('Sprint Calendar'!$A:$A, MATCH(1, ('Project Planning - C'!I71 &gt;= 'Sprint Calendar'!$B:$B) * ('Project Planning - C'!H71 &lt;= 'Sprint Calendar'!$C:$C), 0))</f>
        <v>Sprint 13</v>
      </c>
      <c r="B71" s="81" t="s">
        <v>84</v>
      </c>
      <c r="C71" s="77" t="s">
        <v>124</v>
      </c>
      <c r="D71" s="51" t="s">
        <v>50</v>
      </c>
      <c r="E71" s="51" t="s">
        <v>122</v>
      </c>
      <c r="F71" s="51" t="s">
        <v>18</v>
      </c>
      <c r="G71" s="52">
        <v>2</v>
      </c>
      <c r="H71" s="53">
        <f t="shared" si="16"/>
        <v>46161</v>
      </c>
      <c r="I71" s="53">
        <f t="shared" si="17"/>
        <v>46163</v>
      </c>
      <c r="J71" s="54">
        <f t="shared" si="14"/>
        <v>2</v>
      </c>
      <c r="K71" s="55" t="s">
        <v>22</v>
      </c>
    </row>
    <row r="72" spans="1:11">
      <c r="A72" s="51" t="str" cm="1">
        <f t="array" ref="A72">INDEX('Sprint Calendar'!$A:$A, MATCH(1, ('Project Planning - C'!I72 &gt;= 'Sprint Calendar'!$B:$B) * ('Project Planning - C'!H72 &lt;= 'Sprint Calendar'!$C:$C), 0))</f>
        <v>Sprint 13</v>
      </c>
      <c r="B72" s="81" t="s">
        <v>84</v>
      </c>
      <c r="C72" s="77" t="s">
        <v>124</v>
      </c>
      <c r="D72" s="51" t="s">
        <v>278</v>
      </c>
      <c r="E72" s="51" t="s">
        <v>123</v>
      </c>
      <c r="F72" s="51" t="s">
        <v>18</v>
      </c>
      <c r="G72" s="52">
        <v>2</v>
      </c>
      <c r="H72" s="53">
        <f t="shared" si="16"/>
        <v>46164</v>
      </c>
      <c r="I72" s="53">
        <f t="shared" si="17"/>
        <v>46168</v>
      </c>
      <c r="J72" s="54">
        <f t="shared" si="14"/>
        <v>2</v>
      </c>
      <c r="K72" s="55" t="s">
        <v>22</v>
      </c>
    </row>
    <row r="73" spans="1:11">
      <c r="A73" s="51" t="str" cm="1">
        <f t="array" ref="A73">INDEX('Sprint Calendar'!$A:$A, MATCH(1, ('Project Planning - C'!I73 &gt;= 'Sprint Calendar'!$B:$B) * ('Project Planning - C'!H73 &lt;= 'Sprint Calendar'!$C:$C), 0))</f>
        <v>Sprint 5</v>
      </c>
      <c r="B73" s="81" t="s">
        <v>84</v>
      </c>
      <c r="C73" s="51" t="s">
        <v>126</v>
      </c>
      <c r="D73" s="51" t="s">
        <v>46</v>
      </c>
      <c r="E73" s="51" t="s">
        <v>127</v>
      </c>
      <c r="F73" s="51" t="s">
        <v>333</v>
      </c>
      <c r="G73" s="52">
        <v>1</v>
      </c>
      <c r="H73" s="53">
        <f>WORKDAY(I42,1)</f>
        <v>46052</v>
      </c>
      <c r="I73" s="53">
        <f t="shared" si="8"/>
        <v>46056</v>
      </c>
      <c r="J73" s="54">
        <f>G73/$N$6</f>
        <v>2</v>
      </c>
      <c r="K73" s="55" t="s">
        <v>22</v>
      </c>
    </row>
    <row r="74" spans="1:11">
      <c r="A74" s="51" t="str" cm="1">
        <f t="array" ref="A74">INDEX('Sprint Calendar'!$A:$A, MATCH(1, ('Project Planning - C'!I74 &gt;= 'Sprint Calendar'!$B:$B) * ('Project Planning - C'!H74 &lt;= 'Sprint Calendar'!$C:$C), 0))</f>
        <v>Sprint 6</v>
      </c>
      <c r="B74" s="81" t="s">
        <v>84</v>
      </c>
      <c r="C74" s="51" t="s">
        <v>126</v>
      </c>
      <c r="D74" s="51" t="s">
        <v>46</v>
      </c>
      <c r="E74" s="51" t="s">
        <v>128</v>
      </c>
      <c r="F74" s="51" t="s">
        <v>333</v>
      </c>
      <c r="G74" s="52">
        <v>1</v>
      </c>
      <c r="H74" s="53">
        <f t="shared" si="10"/>
        <v>46057</v>
      </c>
      <c r="I74" s="53">
        <f t="shared" si="8"/>
        <v>46059</v>
      </c>
      <c r="J74" s="54">
        <f t="shared" ref="J74:J82" si="18">G74/$N$6</f>
        <v>2</v>
      </c>
      <c r="K74" s="55" t="s">
        <v>22</v>
      </c>
    </row>
    <row r="75" spans="1:11">
      <c r="A75" s="51" t="str" cm="1">
        <f t="array" ref="A75">INDEX('Sprint Calendar'!$A:$A, MATCH(1, ('Project Planning - C'!I75 &gt;= 'Sprint Calendar'!$B:$B) * ('Project Planning - C'!H75 &lt;= 'Sprint Calendar'!$C:$C), 0))</f>
        <v>Sprint 6</v>
      </c>
      <c r="B75" s="81" t="s">
        <v>84</v>
      </c>
      <c r="C75" s="51" t="s">
        <v>126</v>
      </c>
      <c r="D75" s="51" t="s">
        <v>50</v>
      </c>
      <c r="E75" s="51" t="s">
        <v>129</v>
      </c>
      <c r="F75" s="51" t="s">
        <v>333</v>
      </c>
      <c r="G75" s="52">
        <v>1</v>
      </c>
      <c r="H75" s="53">
        <f t="shared" si="10"/>
        <v>46062</v>
      </c>
      <c r="I75" s="53">
        <f t="shared" si="8"/>
        <v>46064</v>
      </c>
      <c r="J75" s="54">
        <f t="shared" si="18"/>
        <v>2</v>
      </c>
      <c r="K75" s="55" t="s">
        <v>22</v>
      </c>
    </row>
    <row r="76" spans="1:11">
      <c r="A76" s="51" t="str" cm="1">
        <f t="array" ref="A76">INDEX('Sprint Calendar'!$A:$A, MATCH(1, ('Project Planning - C'!I76 &gt;= 'Sprint Calendar'!$B:$B) * ('Project Planning - C'!H76 &lt;= 'Sprint Calendar'!$C:$C), 0))</f>
        <v>Sprint 6</v>
      </c>
      <c r="B76" s="81" t="s">
        <v>84</v>
      </c>
      <c r="C76" s="51" t="s">
        <v>126</v>
      </c>
      <c r="D76" s="51" t="s">
        <v>50</v>
      </c>
      <c r="E76" s="51" t="s">
        <v>130</v>
      </c>
      <c r="F76" s="51" t="s">
        <v>333</v>
      </c>
      <c r="G76" s="52">
        <v>2</v>
      </c>
      <c r="H76" s="53">
        <f t="shared" si="10"/>
        <v>46065</v>
      </c>
      <c r="I76" s="53">
        <f t="shared" si="8"/>
        <v>46071</v>
      </c>
      <c r="J76" s="54">
        <f t="shared" si="18"/>
        <v>4</v>
      </c>
      <c r="K76" s="55" t="s">
        <v>22</v>
      </c>
    </row>
    <row r="77" spans="1:11">
      <c r="A77" s="51" t="str" cm="1">
        <f t="array" ref="A77">INDEX('Sprint Calendar'!$A:$A, MATCH(1, ('Project Planning - C'!I77 &gt;= 'Sprint Calendar'!$B:$B) * ('Project Planning - C'!H77 &lt;= 'Sprint Calendar'!$C:$C), 0))</f>
        <v>Sprint 7</v>
      </c>
      <c r="B77" s="81" t="s">
        <v>84</v>
      </c>
      <c r="C77" s="51" t="s">
        <v>126</v>
      </c>
      <c r="D77" s="51" t="s">
        <v>278</v>
      </c>
      <c r="E77" s="51" t="s">
        <v>131</v>
      </c>
      <c r="F77" s="51" t="s">
        <v>333</v>
      </c>
      <c r="G77" s="52">
        <v>1</v>
      </c>
      <c r="H77" s="53">
        <v>46076</v>
      </c>
      <c r="I77" s="53">
        <f t="shared" si="8"/>
        <v>46078</v>
      </c>
      <c r="J77" s="54">
        <f>G77/$N$6</f>
        <v>2</v>
      </c>
      <c r="K77" s="55" t="s">
        <v>22</v>
      </c>
    </row>
    <row r="78" spans="1:11">
      <c r="A78" s="51" t="str" cm="1">
        <f t="array" ref="A78">INDEX('Sprint Calendar'!$A:$A, MATCH(1, ('Project Planning - C'!I78 &gt;= 'Sprint Calendar'!$B:$B) * ('Project Planning - C'!H78 &lt;= 'Sprint Calendar'!$C:$C), 0))</f>
        <v>Sprint 7</v>
      </c>
      <c r="B78" s="81" t="s">
        <v>84</v>
      </c>
      <c r="C78" s="51" t="s">
        <v>132</v>
      </c>
      <c r="D78" s="51" t="s">
        <v>46</v>
      </c>
      <c r="E78" s="51" t="s">
        <v>133</v>
      </c>
      <c r="F78" s="51" t="s">
        <v>333</v>
      </c>
      <c r="G78" s="52">
        <v>1</v>
      </c>
      <c r="H78" s="53">
        <f t="shared" si="10"/>
        <v>46079</v>
      </c>
      <c r="I78" s="53">
        <f t="shared" si="8"/>
        <v>46083</v>
      </c>
      <c r="J78" s="54">
        <f t="shared" si="18"/>
        <v>2</v>
      </c>
      <c r="K78" s="102" t="s">
        <v>22</v>
      </c>
    </row>
    <row r="79" spans="1:11">
      <c r="A79" s="51" t="str" cm="1">
        <f t="array" ref="A79">INDEX('Sprint Calendar'!$A:$A, MATCH(1, ('Project Planning - C'!I79 &gt;= 'Sprint Calendar'!$B:$B) * ('Project Planning - C'!H79 &lt;= 'Sprint Calendar'!$C:$C), 0))</f>
        <v>Sprint 8</v>
      </c>
      <c r="B79" s="81" t="s">
        <v>84</v>
      </c>
      <c r="C79" s="51" t="s">
        <v>132</v>
      </c>
      <c r="D79" s="51" t="s">
        <v>46</v>
      </c>
      <c r="E79" s="51" t="s">
        <v>134</v>
      </c>
      <c r="F79" s="51" t="s">
        <v>333</v>
      </c>
      <c r="G79" s="52">
        <v>1</v>
      </c>
      <c r="H79" s="53">
        <f t="shared" si="10"/>
        <v>46084</v>
      </c>
      <c r="I79" s="53">
        <f t="shared" si="8"/>
        <v>46086</v>
      </c>
      <c r="J79" s="54">
        <f t="shared" si="18"/>
        <v>2</v>
      </c>
      <c r="K79" s="102" t="s">
        <v>22</v>
      </c>
    </row>
    <row r="80" spans="1:11">
      <c r="A80" s="51" t="str" cm="1">
        <f t="array" ref="A80">INDEX('Sprint Calendar'!$A:$A, MATCH(1, ('Project Planning - C'!I80 &gt;= 'Sprint Calendar'!$B:$B) * ('Project Planning - C'!H80 &lt;= 'Sprint Calendar'!$C:$C), 0))</f>
        <v>Sprint 8</v>
      </c>
      <c r="B80" s="81" t="s">
        <v>84</v>
      </c>
      <c r="C80" s="51" t="s">
        <v>132</v>
      </c>
      <c r="D80" s="51" t="s">
        <v>50</v>
      </c>
      <c r="E80" s="51" t="s">
        <v>135</v>
      </c>
      <c r="F80" s="51" t="s">
        <v>333</v>
      </c>
      <c r="G80" s="52">
        <v>1</v>
      </c>
      <c r="H80" s="53">
        <f>WORKDAY(I79,1)</f>
        <v>46087</v>
      </c>
      <c r="I80" s="53">
        <f t="shared" si="8"/>
        <v>46091</v>
      </c>
      <c r="J80" s="54">
        <f t="shared" si="18"/>
        <v>2</v>
      </c>
      <c r="K80" s="102" t="s">
        <v>22</v>
      </c>
    </row>
    <row r="81" spans="1:11">
      <c r="A81" s="51" t="str" cm="1">
        <f t="array" ref="A81">INDEX('Sprint Calendar'!$A:$A, MATCH(1, ('Project Planning - C'!I81 &gt;= 'Sprint Calendar'!$B:$B) * ('Project Planning - C'!H81 &lt;= 'Sprint Calendar'!$C:$C), 0))</f>
        <v>Sprint 8</v>
      </c>
      <c r="B81" s="81" t="s">
        <v>84</v>
      </c>
      <c r="C81" s="51" t="s">
        <v>132</v>
      </c>
      <c r="D81" s="51" t="s">
        <v>50</v>
      </c>
      <c r="E81" s="51" t="s">
        <v>136</v>
      </c>
      <c r="F81" s="51" t="s">
        <v>333</v>
      </c>
      <c r="G81" s="52">
        <v>2</v>
      </c>
      <c r="H81" s="53">
        <f t="shared" si="10"/>
        <v>46092</v>
      </c>
      <c r="I81" s="53">
        <f t="shared" si="8"/>
        <v>46098</v>
      </c>
      <c r="J81" s="54">
        <f t="shared" si="18"/>
        <v>4</v>
      </c>
      <c r="K81" s="102" t="s">
        <v>22</v>
      </c>
    </row>
    <row r="82" spans="1:11">
      <c r="A82" s="51" t="str" cm="1">
        <f t="array" ref="A82">INDEX('Sprint Calendar'!$A:$A, MATCH(1, ('Project Planning - C'!I82 &gt;= 'Sprint Calendar'!$B:$B) * ('Project Planning - C'!H82 &lt;= 'Sprint Calendar'!$C:$C), 0))</f>
        <v>Sprint 9</v>
      </c>
      <c r="B82" s="81" t="s">
        <v>84</v>
      </c>
      <c r="C82" s="51" t="s">
        <v>132</v>
      </c>
      <c r="D82" s="51" t="s">
        <v>278</v>
      </c>
      <c r="E82" s="51" t="s">
        <v>137</v>
      </c>
      <c r="F82" s="51" t="s">
        <v>333</v>
      </c>
      <c r="G82" s="52">
        <v>1</v>
      </c>
      <c r="H82" s="53">
        <f>WORKDAY(I81,1)</f>
        <v>46099</v>
      </c>
      <c r="I82" s="53">
        <f t="shared" si="8"/>
        <v>46101</v>
      </c>
      <c r="J82" s="54">
        <f t="shared" si="18"/>
        <v>2</v>
      </c>
      <c r="K82" s="102" t="s">
        <v>22</v>
      </c>
    </row>
    <row r="83" spans="1:11">
      <c r="A83" s="51" t="str" cm="1">
        <f t="array" ref="A83">INDEX('Sprint Calendar'!$A:$A, MATCH(1, ('Project Planning - C'!I83 &gt;= 'Sprint Calendar'!$B:$B) * ('Project Planning - C'!H83 &lt;= 'Sprint Calendar'!$C:$C), 0))</f>
        <v>Sprint 9</v>
      </c>
      <c r="B83" s="81" t="s">
        <v>84</v>
      </c>
      <c r="C83" s="51" t="s">
        <v>138</v>
      </c>
      <c r="D83" s="51" t="s">
        <v>46</v>
      </c>
      <c r="E83" s="51" t="s">
        <v>139</v>
      </c>
      <c r="F83" s="51" t="s">
        <v>333</v>
      </c>
      <c r="G83" s="52">
        <v>2</v>
      </c>
      <c r="H83" s="53">
        <f>WORKDAY(I82,1)</f>
        <v>46104</v>
      </c>
      <c r="I83" s="53">
        <f>WORKDAY(H83,J83)</f>
        <v>46108</v>
      </c>
      <c r="J83" s="54">
        <f>G83/$N$6</f>
        <v>4</v>
      </c>
      <c r="K83" s="102" t="s">
        <v>22</v>
      </c>
    </row>
    <row r="84" spans="1:11">
      <c r="A84" s="51" t="str" cm="1">
        <f t="array" ref="A84">INDEX('Sprint Calendar'!$A:$A, MATCH(1, ('Project Planning - C'!I84 &gt;= 'Sprint Calendar'!$B:$B) * ('Project Planning - C'!H84 &lt;= 'Sprint Calendar'!$C:$C), 0))</f>
        <v>Sprint 10</v>
      </c>
      <c r="B84" s="81" t="s">
        <v>84</v>
      </c>
      <c r="C84" s="51" t="s">
        <v>138</v>
      </c>
      <c r="D84" s="51" t="s">
        <v>46</v>
      </c>
      <c r="E84" s="51" t="s">
        <v>140</v>
      </c>
      <c r="F84" s="51" t="s">
        <v>333</v>
      </c>
      <c r="G84" s="52">
        <v>2</v>
      </c>
      <c r="H84" s="53">
        <f t="shared" ref="H84:H97" si="19">WORKDAY(I83,1)</f>
        <v>46111</v>
      </c>
      <c r="I84" s="53">
        <f t="shared" ref="I84:I87" si="20">WORKDAY(H84,J84)</f>
        <v>46115</v>
      </c>
      <c r="J84" s="54">
        <f t="shared" ref="J84:J86" si="21">G84/$N$6</f>
        <v>4</v>
      </c>
      <c r="K84" s="102" t="s">
        <v>22</v>
      </c>
    </row>
    <row r="85" spans="1:11">
      <c r="A85" s="51" t="str" cm="1">
        <f t="array" ref="A85">INDEX('Sprint Calendar'!$A:$A, MATCH(1, ('Project Planning - C'!I85 &gt;= 'Sprint Calendar'!$B:$B) * ('Project Planning - C'!H85 &lt;= 'Sprint Calendar'!$C:$C), 0))</f>
        <v>Sprint 10</v>
      </c>
      <c r="B85" s="81" t="s">
        <v>84</v>
      </c>
      <c r="C85" s="51" t="s">
        <v>138</v>
      </c>
      <c r="D85" s="51" t="s">
        <v>50</v>
      </c>
      <c r="E85" s="51" t="s">
        <v>141</v>
      </c>
      <c r="F85" s="51" t="s">
        <v>333</v>
      </c>
      <c r="G85" s="52">
        <v>3</v>
      </c>
      <c r="H85" s="53">
        <f t="shared" si="19"/>
        <v>46118</v>
      </c>
      <c r="I85" s="53">
        <f t="shared" si="20"/>
        <v>46126</v>
      </c>
      <c r="J85" s="54">
        <f t="shared" si="21"/>
        <v>6</v>
      </c>
      <c r="K85" s="102" t="s">
        <v>22</v>
      </c>
    </row>
    <row r="86" spans="1:11">
      <c r="A86" s="51" t="str" cm="1">
        <f t="array" ref="A86">INDEX('Sprint Calendar'!$A:$A, MATCH(1, ('Project Planning - C'!I86 &gt;= 'Sprint Calendar'!$B:$B) * ('Project Planning - C'!H86 &lt;= 'Sprint Calendar'!$C:$C), 0))</f>
        <v>Sprint 11</v>
      </c>
      <c r="B86" s="81" t="s">
        <v>84</v>
      </c>
      <c r="C86" s="51" t="s">
        <v>138</v>
      </c>
      <c r="D86" s="51" t="s">
        <v>50</v>
      </c>
      <c r="E86" s="51" t="s">
        <v>142</v>
      </c>
      <c r="F86" s="51" t="s">
        <v>333</v>
      </c>
      <c r="G86" s="52">
        <v>5</v>
      </c>
      <c r="H86" s="53">
        <f t="shared" si="19"/>
        <v>46127</v>
      </c>
      <c r="I86" s="53">
        <f t="shared" si="20"/>
        <v>46141</v>
      </c>
      <c r="J86" s="54">
        <f t="shared" si="21"/>
        <v>10</v>
      </c>
      <c r="K86" s="102" t="s">
        <v>22</v>
      </c>
    </row>
    <row r="87" spans="1:11">
      <c r="A87" s="51" t="str" cm="1">
        <f t="array" ref="A87">INDEX('Sprint Calendar'!$A:$A, MATCH(1, ('Project Planning - C'!I87 &gt;= 'Sprint Calendar'!$B:$B) * ('Project Planning - C'!H87 &lt;= 'Sprint Calendar'!$C:$C), 0))</f>
        <v>Sprint 12</v>
      </c>
      <c r="B87" s="81" t="s">
        <v>84</v>
      </c>
      <c r="C87" s="51" t="s">
        <v>138</v>
      </c>
      <c r="D87" s="51" t="s">
        <v>278</v>
      </c>
      <c r="E87" s="51" t="s">
        <v>143</v>
      </c>
      <c r="F87" s="51" t="s">
        <v>333</v>
      </c>
      <c r="G87" s="52">
        <v>1</v>
      </c>
      <c r="H87" s="53">
        <f t="shared" si="19"/>
        <v>46142</v>
      </c>
      <c r="I87" s="53">
        <f t="shared" si="20"/>
        <v>46146</v>
      </c>
      <c r="J87" s="54">
        <f>G87/$N$6</f>
        <v>2</v>
      </c>
      <c r="K87" s="102" t="s">
        <v>22</v>
      </c>
    </row>
    <row r="88" spans="1:11">
      <c r="A88" s="51" t="str" cm="1">
        <f t="array" ref="A88">INDEX('Sprint Calendar'!$A:$A, MATCH(1, ('Project Planning - C'!I88 &gt;= 'Sprint Calendar'!$B:$B) * ('Project Planning - C'!H88 &lt;= 'Sprint Calendar'!$C:$C), 0))</f>
        <v>Sprint 12</v>
      </c>
      <c r="B88" s="81" t="s">
        <v>84</v>
      </c>
      <c r="C88" s="51" t="s">
        <v>144</v>
      </c>
      <c r="D88" s="51" t="s">
        <v>46</v>
      </c>
      <c r="E88" s="51" t="s">
        <v>145</v>
      </c>
      <c r="F88" s="51" t="s">
        <v>333</v>
      </c>
      <c r="G88" s="52">
        <v>1</v>
      </c>
      <c r="H88" s="53">
        <f>WORKDAY(I87,1)</f>
        <v>46147</v>
      </c>
      <c r="I88" s="53">
        <f t="shared" ref="I88:I97" si="22">WORKDAY(H88,J88)</f>
        <v>46149</v>
      </c>
      <c r="J88" s="54">
        <f>G88/$N$6</f>
        <v>2</v>
      </c>
      <c r="K88" s="102" t="s">
        <v>22</v>
      </c>
    </row>
    <row r="89" spans="1:11">
      <c r="A89" s="51" t="str" cm="1">
        <f t="array" ref="A89">INDEX('Sprint Calendar'!$A:$A, MATCH(1, ('Project Planning - C'!I89 &gt;= 'Sprint Calendar'!$B:$B) * ('Project Planning - C'!H89 &lt;= 'Sprint Calendar'!$C:$C), 0))</f>
        <v>Sprint 12</v>
      </c>
      <c r="B89" s="81" t="s">
        <v>84</v>
      </c>
      <c r="C89" s="51" t="s">
        <v>144</v>
      </c>
      <c r="D89" s="51" t="s">
        <v>46</v>
      </c>
      <c r="E89" s="51" t="s">
        <v>146</v>
      </c>
      <c r="F89" s="51" t="s">
        <v>333</v>
      </c>
      <c r="G89" s="52">
        <v>2</v>
      </c>
      <c r="H89" s="53">
        <f>WORKDAY(I88,1)</f>
        <v>46150</v>
      </c>
      <c r="I89" s="53">
        <f t="shared" si="22"/>
        <v>46156</v>
      </c>
      <c r="J89" s="54">
        <f t="shared" ref="J89:J106" si="23">G89/$N$6</f>
        <v>4</v>
      </c>
      <c r="K89" s="102" t="s">
        <v>22</v>
      </c>
    </row>
    <row r="90" spans="1:11">
      <c r="A90" s="51" t="str" cm="1">
        <f t="array" ref="A90">INDEX('Sprint Calendar'!$A:$A, MATCH(1, ('Project Planning - C'!I90 &gt;= 'Sprint Calendar'!$B:$B) * ('Project Planning - C'!H90 &lt;= 'Sprint Calendar'!$C:$C), 0))</f>
        <v>Sprint 13</v>
      </c>
      <c r="B90" s="81" t="s">
        <v>84</v>
      </c>
      <c r="C90" s="51" t="s">
        <v>144</v>
      </c>
      <c r="D90" s="51" t="s">
        <v>50</v>
      </c>
      <c r="E90" s="51" t="s">
        <v>147</v>
      </c>
      <c r="F90" s="51" t="s">
        <v>333</v>
      </c>
      <c r="G90" s="52">
        <v>2</v>
      </c>
      <c r="H90" s="53">
        <f t="shared" si="19"/>
        <v>46157</v>
      </c>
      <c r="I90" s="53">
        <f t="shared" si="22"/>
        <v>46163</v>
      </c>
      <c r="J90" s="54">
        <f t="shared" si="23"/>
        <v>4</v>
      </c>
      <c r="K90" s="102" t="s">
        <v>22</v>
      </c>
    </row>
    <row r="91" spans="1:11">
      <c r="A91" s="51" t="str" cm="1">
        <f t="array" ref="A91">INDEX('Sprint Calendar'!$A:$A, MATCH(1, ('Project Planning - C'!I91 &gt;= 'Sprint Calendar'!$B:$B) * ('Project Planning - C'!H91 &lt;= 'Sprint Calendar'!$C:$C), 0))</f>
        <v>Sprint 13</v>
      </c>
      <c r="B91" s="81" t="s">
        <v>84</v>
      </c>
      <c r="C91" s="51" t="s">
        <v>144</v>
      </c>
      <c r="D91" s="51" t="s">
        <v>50</v>
      </c>
      <c r="E91" s="51" t="s">
        <v>148</v>
      </c>
      <c r="F91" s="51" t="s">
        <v>333</v>
      </c>
      <c r="G91" s="52">
        <v>4</v>
      </c>
      <c r="H91" s="53">
        <f t="shared" si="19"/>
        <v>46164</v>
      </c>
      <c r="I91" s="53">
        <f t="shared" si="22"/>
        <v>46176</v>
      </c>
      <c r="J91" s="54">
        <f t="shared" si="23"/>
        <v>8</v>
      </c>
      <c r="K91" s="102" t="s">
        <v>22</v>
      </c>
    </row>
    <row r="92" spans="1:11">
      <c r="A92" s="51" t="str" cm="1">
        <f t="array" ref="A92">INDEX('Sprint Calendar'!$A:$A, MATCH(1, ('Project Planning - C'!I92 &gt;= 'Sprint Calendar'!$B:$B) * ('Project Planning - C'!H92 &lt;= 'Sprint Calendar'!$C:$C), 0))</f>
        <v>Sprint 14</v>
      </c>
      <c r="B92" s="81" t="s">
        <v>84</v>
      </c>
      <c r="C92" s="51" t="s">
        <v>144</v>
      </c>
      <c r="D92" s="51" t="s">
        <v>278</v>
      </c>
      <c r="E92" s="51" t="s">
        <v>150</v>
      </c>
      <c r="F92" s="51" t="s">
        <v>333</v>
      </c>
      <c r="G92" s="52">
        <v>2</v>
      </c>
      <c r="H92" s="53">
        <f t="shared" si="19"/>
        <v>46177</v>
      </c>
      <c r="I92" s="53">
        <f t="shared" si="22"/>
        <v>46183</v>
      </c>
      <c r="J92" s="54">
        <f t="shared" si="23"/>
        <v>4</v>
      </c>
      <c r="K92" s="102" t="s">
        <v>22</v>
      </c>
    </row>
    <row r="93" spans="1:11">
      <c r="A93" s="51" t="str" cm="1">
        <f t="array" ref="A93">INDEX('Sprint Calendar'!$A:$A, MATCH(1, ('Project Planning - C'!I93 &gt;= 'Sprint Calendar'!$B:$B) * ('Project Planning - C'!H93 &lt;= 'Sprint Calendar'!$C:$C), 0))</f>
        <v>Sprint 15</v>
      </c>
      <c r="B93" s="81" t="s">
        <v>84</v>
      </c>
      <c r="C93" s="51" t="s">
        <v>152</v>
      </c>
      <c r="D93" s="51" t="s">
        <v>46</v>
      </c>
      <c r="E93" s="51" t="s">
        <v>153</v>
      </c>
      <c r="F93" s="51" t="s">
        <v>333</v>
      </c>
      <c r="G93" s="52">
        <v>0.5</v>
      </c>
      <c r="H93" s="53">
        <f t="shared" si="19"/>
        <v>46184</v>
      </c>
      <c r="I93" s="53">
        <f t="shared" si="22"/>
        <v>46185</v>
      </c>
      <c r="J93" s="54">
        <f t="shared" si="23"/>
        <v>1</v>
      </c>
      <c r="K93" s="102" t="s">
        <v>22</v>
      </c>
    </row>
    <row r="94" spans="1:11">
      <c r="A94" s="51" t="str" cm="1">
        <f t="array" ref="A94">INDEX('Sprint Calendar'!$A:$A, MATCH(1, ('Project Planning - C'!I94 &gt;= 'Sprint Calendar'!$B:$B) * ('Project Planning - C'!H94 &lt;= 'Sprint Calendar'!$C:$C), 0))</f>
        <v>Sprint 15</v>
      </c>
      <c r="B94" s="81" t="s">
        <v>84</v>
      </c>
      <c r="C94" s="51" t="s">
        <v>152</v>
      </c>
      <c r="D94" s="51" t="s">
        <v>46</v>
      </c>
      <c r="E94" s="51" t="s">
        <v>154</v>
      </c>
      <c r="F94" s="51" t="s">
        <v>333</v>
      </c>
      <c r="G94" s="52">
        <v>0.5</v>
      </c>
      <c r="H94" s="53">
        <f t="shared" si="19"/>
        <v>46188</v>
      </c>
      <c r="I94" s="53">
        <f t="shared" si="22"/>
        <v>46189</v>
      </c>
      <c r="J94" s="54">
        <f t="shared" si="23"/>
        <v>1</v>
      </c>
      <c r="K94" s="102" t="s">
        <v>22</v>
      </c>
    </row>
    <row r="95" spans="1:11">
      <c r="A95" s="51" t="str" cm="1">
        <f t="array" ref="A95">INDEX('Sprint Calendar'!$A:$A, MATCH(1, ('Project Planning - C'!I95 &gt;= 'Sprint Calendar'!$B:$B) * ('Project Planning - C'!H95 &lt;= 'Sprint Calendar'!$C:$C), 0))</f>
        <v>Sprint 15</v>
      </c>
      <c r="B95" s="81" t="s">
        <v>84</v>
      </c>
      <c r="C95" s="51" t="s">
        <v>152</v>
      </c>
      <c r="D95" s="51" t="s">
        <v>50</v>
      </c>
      <c r="E95" s="51" t="s">
        <v>155</v>
      </c>
      <c r="F95" s="51" t="s">
        <v>333</v>
      </c>
      <c r="G95" s="52">
        <v>1.5</v>
      </c>
      <c r="H95" s="53">
        <f t="shared" si="19"/>
        <v>46190</v>
      </c>
      <c r="I95" s="53">
        <f t="shared" si="22"/>
        <v>46195</v>
      </c>
      <c r="J95" s="54">
        <f t="shared" si="23"/>
        <v>3</v>
      </c>
      <c r="K95" s="102" t="s">
        <v>22</v>
      </c>
    </row>
    <row r="96" spans="1:11">
      <c r="A96" s="51" t="str" cm="1">
        <f t="array" ref="A96">INDEX('Sprint Calendar'!$A:$A, MATCH(1, ('Project Planning - C'!I96 &gt;= 'Sprint Calendar'!$B:$B) * ('Project Planning - C'!H96 &lt;= 'Sprint Calendar'!$C:$C), 0))</f>
        <v>Sprint 16</v>
      </c>
      <c r="B96" s="81" t="s">
        <v>84</v>
      </c>
      <c r="C96" s="51" t="s">
        <v>152</v>
      </c>
      <c r="D96" s="51" t="s">
        <v>50</v>
      </c>
      <c r="E96" s="51" t="s">
        <v>157</v>
      </c>
      <c r="F96" s="51" t="s">
        <v>333</v>
      </c>
      <c r="G96" s="52">
        <v>2.5</v>
      </c>
      <c r="H96" s="53">
        <f t="shared" si="19"/>
        <v>46196</v>
      </c>
      <c r="I96" s="53">
        <f t="shared" si="22"/>
        <v>46203</v>
      </c>
      <c r="J96" s="54">
        <f t="shared" si="23"/>
        <v>5</v>
      </c>
      <c r="K96" s="102" t="s">
        <v>22</v>
      </c>
    </row>
    <row r="97" spans="1:11">
      <c r="A97" s="51" t="str" cm="1">
        <f t="array" ref="A97">INDEX('Sprint Calendar'!$A:$A, MATCH(1, ('Project Planning - C'!I97 &gt;= 'Sprint Calendar'!$B:$B) * ('Project Planning - C'!H97 &lt;= 'Sprint Calendar'!$C:$C), 0))</f>
        <v>Sprint 16</v>
      </c>
      <c r="B97" s="81" t="s">
        <v>84</v>
      </c>
      <c r="C97" s="51" t="s">
        <v>152</v>
      </c>
      <c r="D97" s="51" t="s">
        <v>278</v>
      </c>
      <c r="E97" s="51" t="s">
        <v>158</v>
      </c>
      <c r="F97" s="51" t="s">
        <v>333</v>
      </c>
      <c r="G97" s="52">
        <v>1</v>
      </c>
      <c r="H97" s="53">
        <f t="shared" si="19"/>
        <v>46204</v>
      </c>
      <c r="I97" s="53">
        <f t="shared" si="22"/>
        <v>46206</v>
      </c>
      <c r="J97" s="54">
        <f t="shared" si="23"/>
        <v>2</v>
      </c>
      <c r="K97" s="102" t="s">
        <v>22</v>
      </c>
    </row>
    <row r="98" spans="1:11">
      <c r="A98" s="51" t="str" cm="1">
        <f t="array" ref="A98">INDEX('Sprint Calendar'!$A:$A, MATCH(1, ('Project Planning - C'!I98 &gt;= 'Sprint Calendar'!$B:$B) * ('Project Planning - C'!H98 &lt;= 'Sprint Calendar'!$C:$C), 0))</f>
        <v>Sprint 17</v>
      </c>
      <c r="B98" s="81" t="s">
        <v>84</v>
      </c>
      <c r="C98" s="51" t="s">
        <v>160</v>
      </c>
      <c r="D98" s="51" t="s">
        <v>46</v>
      </c>
      <c r="E98" s="51" t="s">
        <v>161</v>
      </c>
      <c r="F98" s="51" t="s">
        <v>333</v>
      </c>
      <c r="G98" s="52">
        <v>2</v>
      </c>
      <c r="H98" s="53">
        <f>WORKDAY(I97,1)</f>
        <v>46209</v>
      </c>
      <c r="I98" s="53">
        <f t="shared" si="8"/>
        <v>46213</v>
      </c>
      <c r="J98" s="54">
        <f t="shared" si="23"/>
        <v>4</v>
      </c>
      <c r="K98" s="102" t="s">
        <v>22</v>
      </c>
    </row>
    <row r="99" spans="1:11">
      <c r="A99" s="51" t="str" cm="1">
        <f t="array" ref="A99">INDEX('Sprint Calendar'!$A:$A, MATCH(1, ('Project Planning - C'!I99 &gt;= 'Sprint Calendar'!$B:$B) * ('Project Planning - C'!H99 &lt;= 'Sprint Calendar'!$C:$C), 0))</f>
        <v>Sprint 17</v>
      </c>
      <c r="B99" s="81" t="s">
        <v>84</v>
      </c>
      <c r="C99" s="51" t="s">
        <v>160</v>
      </c>
      <c r="D99" s="51" t="s">
        <v>46</v>
      </c>
      <c r="E99" s="51" t="s">
        <v>162</v>
      </c>
      <c r="F99" s="51" t="s">
        <v>333</v>
      </c>
      <c r="G99" s="52">
        <v>2</v>
      </c>
      <c r="H99" s="53">
        <f>I98</f>
        <v>46213</v>
      </c>
      <c r="I99" s="53">
        <f t="shared" si="8"/>
        <v>46219</v>
      </c>
      <c r="J99" s="54">
        <f t="shared" si="23"/>
        <v>4</v>
      </c>
      <c r="K99" s="102" t="s">
        <v>22</v>
      </c>
    </row>
    <row r="100" spans="1:11">
      <c r="A100" s="51" t="str" cm="1">
        <f t="array" ref="A100">INDEX('Sprint Calendar'!$A:$A, MATCH(1, ('Project Planning - C'!I100 &gt;= 'Sprint Calendar'!$B:$B) * ('Project Planning - C'!H100 &lt;= 'Sprint Calendar'!$C:$C), 0))</f>
        <v>Sprint 17</v>
      </c>
      <c r="B100" s="81" t="s">
        <v>84</v>
      </c>
      <c r="C100" s="51" t="s">
        <v>160</v>
      </c>
      <c r="D100" s="51" t="s">
        <v>50</v>
      </c>
      <c r="E100" s="51" t="s">
        <v>163</v>
      </c>
      <c r="F100" s="51" t="s">
        <v>333</v>
      </c>
      <c r="G100" s="52">
        <v>2</v>
      </c>
      <c r="H100" s="53">
        <f t="shared" ref="H100:H107" si="24">I99</f>
        <v>46219</v>
      </c>
      <c r="I100" s="53">
        <f t="shared" ref="I100:I107" si="25">WORKDAY(H100,J100)</f>
        <v>46225</v>
      </c>
      <c r="J100" s="54">
        <f t="shared" si="23"/>
        <v>4</v>
      </c>
      <c r="K100" s="102" t="s">
        <v>22</v>
      </c>
    </row>
    <row r="101" spans="1:11">
      <c r="A101" s="51" t="str" cm="1">
        <f t="array" ref="A101">INDEX('Sprint Calendar'!$A:$A, MATCH(1, ('Project Planning - C'!I101 &gt;= 'Sprint Calendar'!$B:$B) * ('Project Planning - C'!H101 &lt;= 'Sprint Calendar'!$C:$C), 0))</f>
        <v>Sprint 18</v>
      </c>
      <c r="B101" s="81" t="s">
        <v>84</v>
      </c>
      <c r="C101" s="51" t="s">
        <v>160</v>
      </c>
      <c r="D101" s="51" t="s">
        <v>50</v>
      </c>
      <c r="E101" s="51" t="s">
        <v>165</v>
      </c>
      <c r="F101" s="51" t="s">
        <v>333</v>
      </c>
      <c r="G101" s="52">
        <v>5</v>
      </c>
      <c r="H101" s="53">
        <f t="shared" si="24"/>
        <v>46225</v>
      </c>
      <c r="I101" s="53">
        <f t="shared" si="25"/>
        <v>46239</v>
      </c>
      <c r="J101" s="54">
        <f t="shared" si="23"/>
        <v>10</v>
      </c>
      <c r="K101" s="102" t="s">
        <v>22</v>
      </c>
    </row>
    <row r="102" spans="1:11">
      <c r="A102" s="51" t="str" cm="1">
        <f t="array" ref="A102">INDEX('Sprint Calendar'!$A:$A, MATCH(1, ('Project Planning - C'!I102 &gt;= 'Sprint Calendar'!$B:$B) * ('Project Planning - C'!H102 &lt;= 'Sprint Calendar'!$C:$C), 0))</f>
        <v>Sprint 19</v>
      </c>
      <c r="B102" s="81" t="s">
        <v>84</v>
      </c>
      <c r="C102" s="51" t="s">
        <v>160</v>
      </c>
      <c r="D102" s="51" t="s">
        <v>278</v>
      </c>
      <c r="E102" s="51" t="s">
        <v>167</v>
      </c>
      <c r="F102" s="51" t="s">
        <v>333</v>
      </c>
      <c r="G102" s="52">
        <v>2</v>
      </c>
      <c r="H102" s="53">
        <f t="shared" si="24"/>
        <v>46239</v>
      </c>
      <c r="I102" s="53">
        <f t="shared" si="25"/>
        <v>46245</v>
      </c>
      <c r="J102" s="54">
        <f t="shared" si="23"/>
        <v>4</v>
      </c>
      <c r="K102" s="102" t="s">
        <v>22</v>
      </c>
    </row>
    <row r="103" spans="1:11">
      <c r="A103" s="51" t="str" cm="1">
        <f t="array" ref="A103">INDEX('Sprint Calendar'!$A:$A, MATCH(1, ('Project Planning - C'!I103 &gt;= 'Sprint Calendar'!$B:$B) * ('Project Planning - C'!H103 &lt;= 'Sprint Calendar'!$C:$C), 0))</f>
        <v>Sprint 19</v>
      </c>
      <c r="B103" s="81" t="s">
        <v>84</v>
      </c>
      <c r="C103" s="51" t="s">
        <v>168</v>
      </c>
      <c r="D103" s="51" t="s">
        <v>46</v>
      </c>
      <c r="E103" s="51" t="s">
        <v>169</v>
      </c>
      <c r="F103" s="51" t="s">
        <v>333</v>
      </c>
      <c r="G103" s="52">
        <v>0.5</v>
      </c>
      <c r="H103" s="53">
        <f t="shared" si="24"/>
        <v>46245</v>
      </c>
      <c r="I103" s="53">
        <f t="shared" si="25"/>
        <v>46246</v>
      </c>
      <c r="J103" s="54">
        <f t="shared" si="23"/>
        <v>1</v>
      </c>
      <c r="K103" s="102" t="s">
        <v>22</v>
      </c>
    </row>
    <row r="104" spans="1:11">
      <c r="A104" s="51" t="str" cm="1">
        <f t="array" ref="A104">INDEX('Sprint Calendar'!$A:$A, MATCH(1, ('Project Planning - C'!I104 &gt;= 'Sprint Calendar'!$B:$B) * ('Project Planning - C'!H104 &lt;= 'Sprint Calendar'!$C:$C), 0))</f>
        <v>Sprint 19</v>
      </c>
      <c r="B104" s="81" t="s">
        <v>84</v>
      </c>
      <c r="C104" s="51" t="s">
        <v>168</v>
      </c>
      <c r="D104" s="51" t="s">
        <v>46</v>
      </c>
      <c r="E104" s="51" t="s">
        <v>170</v>
      </c>
      <c r="F104" s="51" t="s">
        <v>333</v>
      </c>
      <c r="G104" s="52">
        <v>0.5</v>
      </c>
      <c r="H104" s="53">
        <f t="shared" si="24"/>
        <v>46246</v>
      </c>
      <c r="I104" s="53">
        <f t="shared" si="25"/>
        <v>46247</v>
      </c>
      <c r="J104" s="54">
        <f t="shared" si="23"/>
        <v>1</v>
      </c>
      <c r="K104" s="102" t="s">
        <v>22</v>
      </c>
    </row>
    <row r="105" spans="1:11">
      <c r="A105" s="51" t="str" cm="1">
        <f t="array" ref="A105">INDEX('Sprint Calendar'!$A:$A, MATCH(1, ('Project Planning - C'!I105 &gt;= 'Sprint Calendar'!$B:$B) * ('Project Planning - C'!H105 &lt;= 'Sprint Calendar'!$C:$C), 0))</f>
        <v>Sprint 19</v>
      </c>
      <c r="B105" s="81" t="s">
        <v>84</v>
      </c>
      <c r="C105" s="51" t="s">
        <v>168</v>
      </c>
      <c r="D105" s="51" t="s">
        <v>50</v>
      </c>
      <c r="E105" s="51" t="s">
        <v>171</v>
      </c>
      <c r="F105" s="51" t="s">
        <v>333</v>
      </c>
      <c r="G105" s="52">
        <v>2</v>
      </c>
      <c r="H105" s="53">
        <f t="shared" si="24"/>
        <v>46247</v>
      </c>
      <c r="I105" s="53">
        <f t="shared" si="25"/>
        <v>46253</v>
      </c>
      <c r="J105" s="54">
        <f t="shared" si="23"/>
        <v>4</v>
      </c>
      <c r="K105" s="102" t="s">
        <v>22</v>
      </c>
    </row>
    <row r="106" spans="1:11">
      <c r="A106" s="51" t="str" cm="1">
        <f t="array" ref="A106">INDEX('Sprint Calendar'!$A:$A, MATCH(1, ('Project Planning - C'!I106 &gt;= 'Sprint Calendar'!$B:$B) * ('Project Planning - C'!H106 &lt;= 'Sprint Calendar'!$C:$C), 0))</f>
        <v>Sprint 20</v>
      </c>
      <c r="B106" s="81" t="s">
        <v>84</v>
      </c>
      <c r="C106" s="51" t="s">
        <v>168</v>
      </c>
      <c r="D106" s="51" t="s">
        <v>50</v>
      </c>
      <c r="E106" s="51" t="s">
        <v>173</v>
      </c>
      <c r="F106" s="51" t="s">
        <v>333</v>
      </c>
      <c r="G106" s="52">
        <v>3</v>
      </c>
      <c r="H106" s="53">
        <f t="shared" si="24"/>
        <v>46253</v>
      </c>
      <c r="I106" s="53">
        <f t="shared" si="25"/>
        <v>46261</v>
      </c>
      <c r="J106" s="54">
        <f t="shared" si="23"/>
        <v>6</v>
      </c>
      <c r="K106" s="102" t="s">
        <v>22</v>
      </c>
    </row>
    <row r="107" spans="1:11">
      <c r="A107" s="51" t="str" cm="1">
        <f t="array" ref="A107">INDEX('Sprint Calendar'!$A:$A, MATCH(1, ('Project Planning - C'!I107 &gt;= 'Sprint Calendar'!$B:$B) * ('Project Planning - C'!H107 &lt;= 'Sprint Calendar'!$C:$C), 0))</f>
        <v>Sprint 20</v>
      </c>
      <c r="B107" s="81" t="s">
        <v>84</v>
      </c>
      <c r="C107" s="51" t="s">
        <v>168</v>
      </c>
      <c r="D107" s="51" t="s">
        <v>278</v>
      </c>
      <c r="E107" s="51" t="s">
        <v>174</v>
      </c>
      <c r="F107" s="51" t="s">
        <v>333</v>
      </c>
      <c r="G107" s="52">
        <v>1</v>
      </c>
      <c r="H107" s="53">
        <f t="shared" si="24"/>
        <v>46261</v>
      </c>
      <c r="I107" s="53">
        <f t="shared" si="25"/>
        <v>46265</v>
      </c>
      <c r="J107" s="54">
        <f>G107/$N$6</f>
        <v>2</v>
      </c>
      <c r="K107" s="102" t="s">
        <v>22</v>
      </c>
    </row>
    <row r="108" spans="1:11">
      <c r="A108" s="51" t="str" cm="1">
        <f t="array" ref="A108">INDEX('Sprint Calendar'!$A:$A, MATCH(1, ('Project Planning - C'!I108 &gt;= 'Sprint Calendar'!$B:$B) * ('Project Planning - C'!H108 &lt;= 'Sprint Calendar'!$C:$C), 0))</f>
        <v>Sprint 14</v>
      </c>
      <c r="B108" s="81" t="s">
        <v>84</v>
      </c>
      <c r="C108" s="51" t="s">
        <v>175</v>
      </c>
      <c r="D108" s="51" t="s">
        <v>46</v>
      </c>
      <c r="E108" s="51" t="s">
        <v>176</v>
      </c>
      <c r="F108" s="51" t="s">
        <v>18</v>
      </c>
      <c r="G108" s="52">
        <v>2</v>
      </c>
      <c r="H108" s="53">
        <f>WORKDAY(I72,1)</f>
        <v>46169</v>
      </c>
      <c r="I108" s="53">
        <f>WORKDAY(H108,J108)</f>
        <v>46171</v>
      </c>
      <c r="J108" s="54">
        <f>G108/$N$5</f>
        <v>2</v>
      </c>
      <c r="K108" s="102" t="s">
        <v>22</v>
      </c>
    </row>
    <row r="109" spans="1:11">
      <c r="A109" s="51" t="str" cm="1">
        <f t="array" ref="A109">INDEX('Sprint Calendar'!$A:$A, MATCH(1, ('Project Planning - C'!I109 &gt;= 'Sprint Calendar'!$B:$B) * ('Project Planning - C'!H109 &lt;= 'Sprint Calendar'!$C:$C), 0))</f>
        <v>Sprint 14</v>
      </c>
      <c r="B109" s="81" t="s">
        <v>84</v>
      </c>
      <c r="C109" s="51" t="s">
        <v>175</v>
      </c>
      <c r="D109" s="51" t="s">
        <v>46</v>
      </c>
      <c r="E109" s="51" t="s">
        <v>177</v>
      </c>
      <c r="F109" s="51" t="s">
        <v>18</v>
      </c>
      <c r="G109" s="52">
        <v>2</v>
      </c>
      <c r="H109" s="53">
        <f t="shared" ref="H109:H172" si="26">WORKDAY(I108,1)</f>
        <v>46174</v>
      </c>
      <c r="I109" s="53">
        <f t="shared" ref="I109:I172" si="27">WORKDAY(H109,J109)</f>
        <v>46176</v>
      </c>
      <c r="J109" s="54">
        <f t="shared" ref="J109:J121" si="28">G109/$N$5</f>
        <v>2</v>
      </c>
      <c r="K109" s="102" t="s">
        <v>22</v>
      </c>
    </row>
    <row r="110" spans="1:11">
      <c r="A110" s="51" t="str" cm="1">
        <f t="array" ref="A110">INDEX('Sprint Calendar'!$A:$A, MATCH(1, ('Project Planning - C'!I110 &gt;= 'Sprint Calendar'!$B:$B) * ('Project Planning - C'!H110 &lt;= 'Sprint Calendar'!$C:$C), 0))</f>
        <v>Sprint 14</v>
      </c>
      <c r="B110" s="81" t="s">
        <v>84</v>
      </c>
      <c r="C110" s="51" t="s">
        <v>175</v>
      </c>
      <c r="D110" s="51" t="s">
        <v>50</v>
      </c>
      <c r="E110" s="51" t="s">
        <v>178</v>
      </c>
      <c r="F110" s="51" t="s">
        <v>18</v>
      </c>
      <c r="G110" s="52">
        <v>3</v>
      </c>
      <c r="H110" s="53">
        <f t="shared" si="26"/>
        <v>46177</v>
      </c>
      <c r="I110" s="53">
        <f t="shared" si="27"/>
        <v>46182</v>
      </c>
      <c r="J110" s="54">
        <f t="shared" si="28"/>
        <v>3</v>
      </c>
      <c r="K110" s="102" t="s">
        <v>22</v>
      </c>
    </row>
    <row r="111" spans="1:11">
      <c r="A111" s="51" t="str" cm="1">
        <f t="array" ref="A111">INDEX('Sprint Calendar'!$A:$A, MATCH(1, ('Project Planning - C'!I111 &gt;= 'Sprint Calendar'!$B:$B) * ('Project Planning - C'!H111 &lt;= 'Sprint Calendar'!$C:$C), 0))</f>
        <v>Sprint 15</v>
      </c>
      <c r="B111" s="81" t="s">
        <v>84</v>
      </c>
      <c r="C111" s="51" t="s">
        <v>175</v>
      </c>
      <c r="D111" s="51" t="s">
        <v>50</v>
      </c>
      <c r="E111" s="51" t="s">
        <v>179</v>
      </c>
      <c r="F111" s="51" t="s">
        <v>18</v>
      </c>
      <c r="G111" s="52">
        <v>5</v>
      </c>
      <c r="H111" s="53">
        <f t="shared" si="26"/>
        <v>46183</v>
      </c>
      <c r="I111" s="53">
        <f t="shared" si="27"/>
        <v>46190</v>
      </c>
      <c r="J111" s="54">
        <f t="shared" si="28"/>
        <v>5</v>
      </c>
      <c r="K111" s="102" t="s">
        <v>22</v>
      </c>
    </row>
    <row r="112" spans="1:11">
      <c r="A112" s="51" t="str" cm="1">
        <f t="array" ref="A112">INDEX('Sprint Calendar'!$A:$A, MATCH(1, ('Project Planning - C'!I112 &gt;= 'Sprint Calendar'!$B:$B) * ('Project Planning - C'!H112 &lt;= 'Sprint Calendar'!$C:$C), 0))</f>
        <v>Sprint 15</v>
      </c>
      <c r="B112" s="81" t="s">
        <v>84</v>
      </c>
      <c r="C112" s="51" t="s">
        <v>175</v>
      </c>
      <c r="D112" s="51" t="s">
        <v>278</v>
      </c>
      <c r="E112" s="51" t="s">
        <v>180</v>
      </c>
      <c r="F112" s="51" t="s">
        <v>18</v>
      </c>
      <c r="G112" s="52">
        <v>1</v>
      </c>
      <c r="H112" s="53">
        <f t="shared" si="26"/>
        <v>46191</v>
      </c>
      <c r="I112" s="53">
        <f t="shared" si="27"/>
        <v>46192</v>
      </c>
      <c r="J112" s="54">
        <f t="shared" si="28"/>
        <v>1</v>
      </c>
      <c r="K112" s="102" t="s">
        <v>22</v>
      </c>
    </row>
    <row r="113" spans="1:11">
      <c r="A113" s="51" t="str" cm="1">
        <f t="array" ref="A113">INDEX('Sprint Calendar'!$A:$A, MATCH(1, ('Project Planning - C'!I113 &gt;= 'Sprint Calendar'!$B:$B) * ('Project Planning - C'!H113 &lt;= 'Sprint Calendar'!$C:$C), 0))</f>
        <v>Sprint 16</v>
      </c>
      <c r="B113" s="81" t="s">
        <v>84</v>
      </c>
      <c r="C113" s="51" t="s">
        <v>181</v>
      </c>
      <c r="D113" s="51" t="s">
        <v>46</v>
      </c>
      <c r="E113" s="51" t="s">
        <v>182</v>
      </c>
      <c r="F113" s="51" t="s">
        <v>18</v>
      </c>
      <c r="G113" s="52">
        <v>1</v>
      </c>
      <c r="H113" s="53">
        <f t="shared" si="26"/>
        <v>46195</v>
      </c>
      <c r="I113" s="53">
        <f t="shared" si="27"/>
        <v>46196</v>
      </c>
      <c r="J113" s="54">
        <f t="shared" si="28"/>
        <v>1</v>
      </c>
      <c r="K113" s="102" t="s">
        <v>22</v>
      </c>
    </row>
    <row r="114" spans="1:11">
      <c r="A114" s="51" t="str" cm="1">
        <f t="array" ref="A114">INDEX('Sprint Calendar'!$A:$A, MATCH(1, ('Project Planning - C'!I114 &gt;= 'Sprint Calendar'!$B:$B) * ('Project Planning - C'!H114 &lt;= 'Sprint Calendar'!$C:$C), 0))</f>
        <v>Sprint 16</v>
      </c>
      <c r="B114" s="81" t="s">
        <v>84</v>
      </c>
      <c r="C114" s="51" t="s">
        <v>181</v>
      </c>
      <c r="D114" s="51" t="s">
        <v>46</v>
      </c>
      <c r="E114" s="51" t="s">
        <v>183</v>
      </c>
      <c r="F114" s="51" t="s">
        <v>18</v>
      </c>
      <c r="G114" s="52">
        <v>2</v>
      </c>
      <c r="H114" s="53">
        <f t="shared" si="26"/>
        <v>46197</v>
      </c>
      <c r="I114" s="53">
        <f t="shared" si="27"/>
        <v>46199</v>
      </c>
      <c r="J114" s="54">
        <f t="shared" si="28"/>
        <v>2</v>
      </c>
      <c r="K114" s="102" t="s">
        <v>22</v>
      </c>
    </row>
    <row r="115" spans="1:11">
      <c r="A115" s="51" t="str" cm="1">
        <f t="array" ref="A115">INDEX('Sprint Calendar'!$A:$A, MATCH(1, ('Project Planning - C'!I115 &gt;= 'Sprint Calendar'!$B:$B) * ('Project Planning - C'!H115 &lt;= 'Sprint Calendar'!$C:$C), 0))</f>
        <v>Sprint 16</v>
      </c>
      <c r="B115" s="81" t="s">
        <v>84</v>
      </c>
      <c r="C115" s="51" t="s">
        <v>181</v>
      </c>
      <c r="D115" s="51" t="s">
        <v>50</v>
      </c>
      <c r="E115" s="51" t="s">
        <v>184</v>
      </c>
      <c r="F115" s="51" t="s">
        <v>18</v>
      </c>
      <c r="G115" s="52">
        <v>1.5</v>
      </c>
      <c r="H115" s="53">
        <f t="shared" si="26"/>
        <v>46202</v>
      </c>
      <c r="I115" s="53">
        <f t="shared" si="27"/>
        <v>46203</v>
      </c>
      <c r="J115" s="54">
        <f t="shared" si="28"/>
        <v>1.5</v>
      </c>
      <c r="K115" s="102" t="s">
        <v>22</v>
      </c>
    </row>
    <row r="116" spans="1:11">
      <c r="A116" s="51" t="str" cm="1">
        <f t="array" ref="A116">INDEX('Sprint Calendar'!$A:$A, MATCH(1, ('Project Planning - C'!I116 &gt;= 'Sprint Calendar'!$B:$B) * ('Project Planning - C'!H116 &lt;= 'Sprint Calendar'!$C:$C), 0))</f>
        <v>Sprint 16</v>
      </c>
      <c r="B116" s="81" t="s">
        <v>84</v>
      </c>
      <c r="C116" s="51" t="s">
        <v>181</v>
      </c>
      <c r="D116" s="51" t="s">
        <v>50</v>
      </c>
      <c r="E116" s="51" t="s">
        <v>185</v>
      </c>
      <c r="F116" s="51" t="s">
        <v>18</v>
      </c>
      <c r="G116" s="52">
        <v>2.5</v>
      </c>
      <c r="H116" s="53">
        <f t="shared" si="26"/>
        <v>46204</v>
      </c>
      <c r="I116" s="53">
        <f t="shared" si="27"/>
        <v>46206</v>
      </c>
      <c r="J116" s="54">
        <f t="shared" si="28"/>
        <v>2.5</v>
      </c>
      <c r="K116" s="102" t="s">
        <v>22</v>
      </c>
    </row>
    <row r="117" spans="1:11">
      <c r="A117" s="51" t="str" cm="1">
        <f t="array" ref="A117">INDEX('Sprint Calendar'!$A:$A, MATCH(1, ('Project Planning - C'!I117 &gt;= 'Sprint Calendar'!$B:$B) * ('Project Planning - C'!H117 &lt;= 'Sprint Calendar'!$C:$C), 0))</f>
        <v>Sprint 17</v>
      </c>
      <c r="B117" s="81" t="s">
        <v>84</v>
      </c>
      <c r="C117" s="51" t="s">
        <v>181</v>
      </c>
      <c r="D117" s="51" t="s">
        <v>278</v>
      </c>
      <c r="E117" s="51" t="s">
        <v>186</v>
      </c>
      <c r="F117" s="51" t="s">
        <v>18</v>
      </c>
      <c r="G117" s="52">
        <v>1</v>
      </c>
      <c r="H117" s="53">
        <f t="shared" si="26"/>
        <v>46209</v>
      </c>
      <c r="I117" s="53">
        <f t="shared" si="27"/>
        <v>46210</v>
      </c>
      <c r="J117" s="54">
        <f t="shared" si="28"/>
        <v>1</v>
      </c>
      <c r="K117" s="102" t="s">
        <v>22</v>
      </c>
    </row>
    <row r="118" spans="1:11">
      <c r="A118" s="51" t="str" cm="1">
        <f t="array" ref="A118">INDEX('Sprint Calendar'!$A:$A, MATCH(1, ('Project Planning - C'!I118 &gt;= 'Sprint Calendar'!$B:$B) * ('Project Planning - C'!H118 &lt;= 'Sprint Calendar'!$C:$C), 0))</f>
        <v>Sprint 17</v>
      </c>
      <c r="B118" s="81" t="s">
        <v>84</v>
      </c>
      <c r="C118" s="51" t="s">
        <v>187</v>
      </c>
      <c r="D118" s="51" t="s">
        <v>46</v>
      </c>
      <c r="E118" s="51" t="s">
        <v>188</v>
      </c>
      <c r="F118" s="51" t="s">
        <v>18</v>
      </c>
      <c r="G118" s="52">
        <v>1</v>
      </c>
      <c r="H118" s="53">
        <f t="shared" si="26"/>
        <v>46211</v>
      </c>
      <c r="I118" s="53">
        <f t="shared" si="27"/>
        <v>46212</v>
      </c>
      <c r="J118" s="54">
        <f t="shared" si="28"/>
        <v>1</v>
      </c>
      <c r="K118" s="102" t="s">
        <v>22</v>
      </c>
    </row>
    <row r="119" spans="1:11">
      <c r="A119" s="51" t="str" cm="1">
        <f t="array" ref="A119">INDEX('Sprint Calendar'!$A:$A, MATCH(1, ('Project Planning - C'!I119 &gt;= 'Sprint Calendar'!$B:$B) * ('Project Planning - C'!H119 &lt;= 'Sprint Calendar'!$C:$C), 0))</f>
        <v>Sprint 17</v>
      </c>
      <c r="B119" s="81" t="s">
        <v>84</v>
      </c>
      <c r="C119" s="51" t="s">
        <v>187</v>
      </c>
      <c r="D119" s="51" t="s">
        <v>46</v>
      </c>
      <c r="E119" s="51" t="s">
        <v>189</v>
      </c>
      <c r="F119" s="51" t="s">
        <v>18</v>
      </c>
      <c r="G119" s="52">
        <v>1</v>
      </c>
      <c r="H119" s="53">
        <f t="shared" si="26"/>
        <v>46213</v>
      </c>
      <c r="I119" s="53">
        <f t="shared" si="27"/>
        <v>46216</v>
      </c>
      <c r="J119" s="54">
        <f t="shared" si="28"/>
        <v>1</v>
      </c>
      <c r="K119" s="102" t="s">
        <v>22</v>
      </c>
    </row>
    <row r="120" spans="1:11">
      <c r="A120" s="51" t="str" cm="1">
        <f t="array" ref="A120">INDEX('Sprint Calendar'!$A:$A, MATCH(1, ('Project Planning - C'!I120 &gt;= 'Sprint Calendar'!$B:$B) * ('Project Planning - C'!H120 &lt;= 'Sprint Calendar'!$C:$C), 0))</f>
        <v>Sprint 17</v>
      </c>
      <c r="B120" s="81" t="s">
        <v>84</v>
      </c>
      <c r="C120" s="51" t="s">
        <v>187</v>
      </c>
      <c r="D120" s="51" t="s">
        <v>50</v>
      </c>
      <c r="E120" s="51" t="s">
        <v>190</v>
      </c>
      <c r="F120" s="51" t="s">
        <v>18</v>
      </c>
      <c r="G120" s="52">
        <v>1.5</v>
      </c>
      <c r="H120" s="53">
        <f t="shared" si="26"/>
        <v>46217</v>
      </c>
      <c r="I120" s="53">
        <f t="shared" si="27"/>
        <v>46218</v>
      </c>
      <c r="J120" s="54">
        <f t="shared" si="28"/>
        <v>1.5</v>
      </c>
      <c r="K120" s="102" t="s">
        <v>22</v>
      </c>
    </row>
    <row r="121" spans="1:11">
      <c r="A121" s="51" t="str" cm="1">
        <f t="array" ref="A121">INDEX('Sprint Calendar'!$A:$A, MATCH(1, ('Project Planning - C'!I121 &gt;= 'Sprint Calendar'!$B:$B) * ('Project Planning - C'!H121 &lt;= 'Sprint Calendar'!$C:$C), 0))</f>
        <v>Sprint 17</v>
      </c>
      <c r="B121" s="81" t="s">
        <v>84</v>
      </c>
      <c r="C121" s="51" t="s">
        <v>187</v>
      </c>
      <c r="D121" s="51" t="s">
        <v>50</v>
      </c>
      <c r="E121" s="51" t="s">
        <v>191</v>
      </c>
      <c r="F121" s="51" t="s">
        <v>18</v>
      </c>
      <c r="G121" s="52">
        <v>1.5</v>
      </c>
      <c r="H121" s="53">
        <f t="shared" si="26"/>
        <v>46219</v>
      </c>
      <c r="I121" s="53">
        <f t="shared" si="27"/>
        <v>46220</v>
      </c>
      <c r="J121" s="54">
        <f t="shared" si="28"/>
        <v>1.5</v>
      </c>
      <c r="K121" s="102" t="s">
        <v>22</v>
      </c>
    </row>
    <row r="122" spans="1:11">
      <c r="A122" s="51" t="str" cm="1">
        <f t="array" ref="A122">INDEX('Sprint Calendar'!$A:$A, MATCH(1, ('Project Planning - C'!I122 &gt;= 'Sprint Calendar'!$B:$B) * ('Project Planning - C'!H122 &lt;= 'Sprint Calendar'!$C:$C), 0))</f>
        <v>Sprint 18</v>
      </c>
      <c r="B122" s="81" t="s">
        <v>84</v>
      </c>
      <c r="C122" s="51" t="s">
        <v>187</v>
      </c>
      <c r="D122" s="51" t="s">
        <v>278</v>
      </c>
      <c r="E122" s="51" t="s">
        <v>192</v>
      </c>
      <c r="F122" s="51" t="s">
        <v>18</v>
      </c>
      <c r="G122" s="52">
        <v>1</v>
      </c>
      <c r="H122" s="53">
        <f>WORKDAY(I121,1)</f>
        <v>46223</v>
      </c>
      <c r="I122" s="53">
        <f t="shared" si="27"/>
        <v>46224</v>
      </c>
      <c r="J122" s="54">
        <f>G122/$N$5</f>
        <v>1</v>
      </c>
      <c r="K122" s="102" t="s">
        <v>22</v>
      </c>
    </row>
    <row r="123" spans="1:11">
      <c r="A123" s="51" t="str" cm="1">
        <f t="array" ref="A123">INDEX('Sprint Calendar'!$A:$A, MATCH(1, ('Project Planning - C'!I123 &gt;= 'Sprint Calendar'!$B:$B) * ('Project Planning - C'!H123 &lt;= 'Sprint Calendar'!$C:$C), 0))</f>
        <v>Sprint 18</v>
      </c>
      <c r="B123" s="81" t="s">
        <v>84</v>
      </c>
      <c r="C123" s="51" t="s">
        <v>193</v>
      </c>
      <c r="D123" s="51" t="s">
        <v>46</v>
      </c>
      <c r="E123" s="51" t="s">
        <v>194</v>
      </c>
      <c r="F123" s="51" t="s">
        <v>18</v>
      </c>
      <c r="G123" s="52">
        <v>1</v>
      </c>
      <c r="H123" s="53">
        <f t="shared" ref="H123:H128" si="29">WORKDAY(I122,1)</f>
        <v>46225</v>
      </c>
      <c r="I123" s="53">
        <f t="shared" ref="I123:I127" si="30">WORKDAY(H123,J123)</f>
        <v>46226</v>
      </c>
      <c r="J123" s="54">
        <f t="shared" ref="J123:J131" si="31">G123/$N$5</f>
        <v>1</v>
      </c>
      <c r="K123" s="102" t="s">
        <v>22</v>
      </c>
    </row>
    <row r="124" spans="1:11">
      <c r="A124" s="51" t="str" cm="1">
        <f t="array" ref="A124">INDEX('Sprint Calendar'!$A:$A, MATCH(1, ('Project Planning - C'!I124 &gt;= 'Sprint Calendar'!$B:$B) * ('Project Planning - C'!H124 &lt;= 'Sprint Calendar'!$C:$C), 0))</f>
        <v>Sprint 18</v>
      </c>
      <c r="B124" s="81" t="s">
        <v>84</v>
      </c>
      <c r="C124" s="51" t="s">
        <v>193</v>
      </c>
      <c r="D124" s="51" t="s">
        <v>46</v>
      </c>
      <c r="E124" s="51" t="s">
        <v>195</v>
      </c>
      <c r="F124" s="51" t="s">
        <v>18</v>
      </c>
      <c r="G124" s="52">
        <v>2</v>
      </c>
      <c r="H124" s="53">
        <f t="shared" si="29"/>
        <v>46227</v>
      </c>
      <c r="I124" s="53">
        <f t="shared" si="30"/>
        <v>46231</v>
      </c>
      <c r="J124" s="54">
        <f t="shared" si="31"/>
        <v>2</v>
      </c>
      <c r="K124" s="102" t="s">
        <v>22</v>
      </c>
    </row>
    <row r="125" spans="1:11">
      <c r="A125" s="51" t="str" cm="1">
        <f t="array" ref="A125">INDEX('Sprint Calendar'!$A:$A, MATCH(1, ('Project Planning - C'!I125 &gt;= 'Sprint Calendar'!$B:$B) * ('Project Planning - C'!H125 &lt;= 'Sprint Calendar'!$C:$C), 0))</f>
        <v>Sprint 18</v>
      </c>
      <c r="B125" s="81" t="s">
        <v>84</v>
      </c>
      <c r="C125" s="51" t="s">
        <v>193</v>
      </c>
      <c r="D125" s="51" t="s">
        <v>50</v>
      </c>
      <c r="E125" s="51" t="s">
        <v>196</v>
      </c>
      <c r="F125" s="51" t="s">
        <v>18</v>
      </c>
      <c r="G125" s="52">
        <v>1</v>
      </c>
      <c r="H125" s="53">
        <f t="shared" si="29"/>
        <v>46232</v>
      </c>
      <c r="I125" s="53">
        <f t="shared" si="30"/>
        <v>46233</v>
      </c>
      <c r="J125" s="54">
        <f t="shared" si="31"/>
        <v>1</v>
      </c>
      <c r="K125" s="102" t="s">
        <v>22</v>
      </c>
    </row>
    <row r="126" spans="1:11">
      <c r="A126" s="51" t="str" cm="1">
        <f t="array" ref="A126">INDEX('Sprint Calendar'!$A:$A, MATCH(1, ('Project Planning - C'!I126 &gt;= 'Sprint Calendar'!$B:$B) * ('Project Planning - C'!H126 &lt;= 'Sprint Calendar'!$C:$C), 0))</f>
        <v>Sprint 18</v>
      </c>
      <c r="B126" s="81" t="s">
        <v>84</v>
      </c>
      <c r="C126" s="51" t="s">
        <v>193</v>
      </c>
      <c r="D126" s="51" t="s">
        <v>50</v>
      </c>
      <c r="E126" s="51" t="s">
        <v>197</v>
      </c>
      <c r="F126" s="51" t="s">
        <v>18</v>
      </c>
      <c r="G126" s="52">
        <v>2</v>
      </c>
      <c r="H126" s="53">
        <f t="shared" si="29"/>
        <v>46234</v>
      </c>
      <c r="I126" s="53">
        <f t="shared" si="30"/>
        <v>46238</v>
      </c>
      <c r="J126" s="54">
        <f t="shared" si="31"/>
        <v>2</v>
      </c>
      <c r="K126" s="102" t="s">
        <v>22</v>
      </c>
    </row>
    <row r="127" spans="1:11">
      <c r="A127" s="51" t="str" cm="1">
        <f t="array" ref="A127">INDEX('Sprint Calendar'!$A:$A, MATCH(1, ('Project Planning - C'!I127 &gt;= 'Sprint Calendar'!$B:$B) * ('Project Planning - C'!H127 &lt;= 'Sprint Calendar'!$C:$C), 0))</f>
        <v>Sprint 19</v>
      </c>
      <c r="B127" s="81" t="s">
        <v>84</v>
      </c>
      <c r="C127" s="51" t="s">
        <v>193</v>
      </c>
      <c r="D127" s="51" t="s">
        <v>278</v>
      </c>
      <c r="E127" s="51" t="s">
        <v>198</v>
      </c>
      <c r="F127" s="51" t="s">
        <v>18</v>
      </c>
      <c r="G127" s="52">
        <v>1</v>
      </c>
      <c r="H127" s="53">
        <f t="shared" si="29"/>
        <v>46239</v>
      </c>
      <c r="I127" s="53">
        <f t="shared" si="30"/>
        <v>46240</v>
      </c>
      <c r="J127" s="54">
        <f t="shared" si="31"/>
        <v>1</v>
      </c>
      <c r="K127" s="102" t="s">
        <v>22</v>
      </c>
    </row>
    <row r="128" spans="1:11">
      <c r="A128" s="51" t="str" cm="1">
        <f t="array" ref="A128">INDEX('Sprint Calendar'!$A:$A, MATCH(1, ('Project Planning - C'!I128 &gt;= 'Sprint Calendar'!$B:$B) * ('Project Planning - C'!H128 &lt;= 'Sprint Calendar'!$C:$C), 0))</f>
        <v>Sprint 19</v>
      </c>
      <c r="B128" s="81" t="s">
        <v>84</v>
      </c>
      <c r="C128" s="77" t="s">
        <v>199</v>
      </c>
      <c r="D128" s="51" t="s">
        <v>46</v>
      </c>
      <c r="E128" s="51" t="s">
        <v>200</v>
      </c>
      <c r="F128" s="51" t="s">
        <v>18</v>
      </c>
      <c r="G128" s="52">
        <v>1.5</v>
      </c>
      <c r="H128" s="53">
        <f t="shared" si="29"/>
        <v>46241</v>
      </c>
      <c r="I128" s="53">
        <f t="shared" si="27"/>
        <v>46244</v>
      </c>
      <c r="J128" s="54">
        <f t="shared" si="31"/>
        <v>1.5</v>
      </c>
      <c r="K128" s="102" t="s">
        <v>22</v>
      </c>
    </row>
    <row r="129" spans="1:11">
      <c r="A129" s="51" t="str" cm="1">
        <f t="array" ref="A129">INDEX('Sprint Calendar'!$A:$A, MATCH(1, ('Project Planning - C'!I129 &gt;= 'Sprint Calendar'!$B:$B) * ('Project Planning - C'!H129 &lt;= 'Sprint Calendar'!$C:$C), 0))</f>
        <v>Sprint 19</v>
      </c>
      <c r="B129" s="81" t="s">
        <v>84</v>
      </c>
      <c r="C129" s="77" t="s">
        <v>199</v>
      </c>
      <c r="D129" s="51" t="s">
        <v>46</v>
      </c>
      <c r="E129" s="51" t="s">
        <v>201</v>
      </c>
      <c r="F129" s="51" t="s">
        <v>18</v>
      </c>
      <c r="G129" s="52">
        <v>1.5</v>
      </c>
      <c r="H129" s="53">
        <f t="shared" si="26"/>
        <v>46245</v>
      </c>
      <c r="I129" s="53">
        <f t="shared" si="27"/>
        <v>46246</v>
      </c>
      <c r="J129" s="54">
        <f t="shared" si="31"/>
        <v>1.5</v>
      </c>
      <c r="K129" s="102" t="s">
        <v>22</v>
      </c>
    </row>
    <row r="130" spans="1:11">
      <c r="A130" s="51" t="str" cm="1">
        <f t="array" ref="A130">INDEX('Sprint Calendar'!$A:$A, MATCH(1, ('Project Planning - C'!I130 &gt;= 'Sprint Calendar'!$B:$B) * ('Project Planning - C'!H130 &lt;= 'Sprint Calendar'!$C:$C), 0))</f>
        <v>Sprint 19</v>
      </c>
      <c r="B130" s="81" t="s">
        <v>84</v>
      </c>
      <c r="C130" s="77" t="s">
        <v>199</v>
      </c>
      <c r="D130" s="51" t="s">
        <v>50</v>
      </c>
      <c r="E130" s="51" t="s">
        <v>202</v>
      </c>
      <c r="F130" s="51" t="s">
        <v>18</v>
      </c>
      <c r="G130" s="52">
        <v>2</v>
      </c>
      <c r="H130" s="53">
        <f t="shared" si="26"/>
        <v>46247</v>
      </c>
      <c r="I130" s="53">
        <f t="shared" si="27"/>
        <v>46251</v>
      </c>
      <c r="J130" s="54">
        <f t="shared" si="31"/>
        <v>2</v>
      </c>
      <c r="K130" s="102" t="s">
        <v>22</v>
      </c>
    </row>
    <row r="131" spans="1:11">
      <c r="A131" s="51" t="str" cm="1">
        <f t="array" ref="A131">INDEX('Sprint Calendar'!$A:$A, MATCH(1, ('Project Planning - C'!I131 &gt;= 'Sprint Calendar'!$B:$B) * ('Project Planning - C'!H131 &lt;= 'Sprint Calendar'!$C:$C), 0))</f>
        <v>Sprint 20</v>
      </c>
      <c r="B131" s="81" t="s">
        <v>84</v>
      </c>
      <c r="C131" s="77" t="s">
        <v>199</v>
      </c>
      <c r="D131" s="51" t="s">
        <v>50</v>
      </c>
      <c r="E131" s="51" t="s">
        <v>203</v>
      </c>
      <c r="F131" s="51" t="s">
        <v>18</v>
      </c>
      <c r="G131" s="52">
        <v>2</v>
      </c>
      <c r="H131" s="53">
        <f t="shared" si="26"/>
        <v>46252</v>
      </c>
      <c r="I131" s="53">
        <f t="shared" si="27"/>
        <v>46254</v>
      </c>
      <c r="J131" s="54">
        <f t="shared" si="31"/>
        <v>2</v>
      </c>
      <c r="K131" s="102" t="s">
        <v>22</v>
      </c>
    </row>
    <row r="132" spans="1:11">
      <c r="A132" s="51" t="str" cm="1">
        <f t="array" ref="A132">INDEX('Sprint Calendar'!$A:$A, MATCH(1, ('Project Planning - C'!I132 &gt;= 'Sprint Calendar'!$B:$B) * ('Project Planning - C'!H132 &lt;= 'Sprint Calendar'!$C:$C), 0))</f>
        <v>Sprint 20</v>
      </c>
      <c r="B132" s="81" t="s">
        <v>84</v>
      </c>
      <c r="C132" s="77" t="s">
        <v>199</v>
      </c>
      <c r="D132" s="51" t="s">
        <v>278</v>
      </c>
      <c r="E132" s="51" t="s">
        <v>204</v>
      </c>
      <c r="F132" s="51" t="s">
        <v>18</v>
      </c>
      <c r="G132" s="52">
        <v>1</v>
      </c>
      <c r="H132" s="53">
        <f t="shared" si="26"/>
        <v>46255</v>
      </c>
      <c r="I132" s="53">
        <f t="shared" si="27"/>
        <v>46258</v>
      </c>
      <c r="J132" s="54">
        <f>G132/$N$5</f>
        <v>1</v>
      </c>
      <c r="K132" s="102" t="s">
        <v>22</v>
      </c>
    </row>
    <row r="133" spans="1:11">
      <c r="A133" s="51" t="str" cm="1">
        <f t="array" ref="A133">INDEX('Sprint Calendar'!$A:$A, MATCH(1, ('Project Planning - C'!I133 &gt;= 'Sprint Calendar'!$B:$B) * ('Project Planning - C'!H133 &lt;= 'Sprint Calendar'!$C:$C), 0))</f>
        <v>Sprint 20</v>
      </c>
      <c r="B133" s="81" t="s">
        <v>84</v>
      </c>
      <c r="C133" s="77" t="s">
        <v>205</v>
      </c>
      <c r="D133" s="51" t="s">
        <v>46</v>
      </c>
      <c r="E133" s="51" t="s">
        <v>206</v>
      </c>
      <c r="F133" s="51" t="s">
        <v>18</v>
      </c>
      <c r="G133" s="52">
        <v>1</v>
      </c>
      <c r="H133" s="53">
        <f t="shared" ref="H133:H142" si="32">WORKDAY(I132,1)</f>
        <v>46259</v>
      </c>
      <c r="I133" s="53">
        <f t="shared" ref="I133:I142" si="33">WORKDAY(H133,J133)</f>
        <v>46260</v>
      </c>
      <c r="J133" s="54">
        <f t="shared" ref="J133:J142" si="34">G133/$N$5</f>
        <v>1</v>
      </c>
      <c r="K133" s="102" t="s">
        <v>22</v>
      </c>
    </row>
    <row r="134" spans="1:11">
      <c r="A134" s="51" t="str" cm="1">
        <f t="array" ref="A134">INDEX('Sprint Calendar'!$A:$A, MATCH(1, ('Project Planning - C'!I134 &gt;= 'Sprint Calendar'!$B:$B) * ('Project Planning - C'!H134 &lt;= 'Sprint Calendar'!$C:$C), 0))</f>
        <v>Sprint 20</v>
      </c>
      <c r="B134" s="81" t="s">
        <v>84</v>
      </c>
      <c r="C134" s="77" t="s">
        <v>205</v>
      </c>
      <c r="D134" s="51" t="s">
        <v>46</v>
      </c>
      <c r="E134" s="51" t="s">
        <v>207</v>
      </c>
      <c r="F134" s="51" t="s">
        <v>18</v>
      </c>
      <c r="G134" s="52">
        <v>1</v>
      </c>
      <c r="H134" s="53">
        <f t="shared" si="32"/>
        <v>46261</v>
      </c>
      <c r="I134" s="53">
        <f t="shared" si="33"/>
        <v>46262</v>
      </c>
      <c r="J134" s="54">
        <f t="shared" si="34"/>
        <v>1</v>
      </c>
      <c r="K134" s="102" t="s">
        <v>22</v>
      </c>
    </row>
    <row r="135" spans="1:11">
      <c r="A135" s="51" t="str" cm="1">
        <f t="array" ref="A135">INDEX('Sprint Calendar'!$A:$A, MATCH(1, ('Project Planning - C'!I135 &gt;= 'Sprint Calendar'!$B:$B) * ('Project Planning - C'!H135 &lt;= 'Sprint Calendar'!$C:$C), 0))</f>
        <v>Sprint 21</v>
      </c>
      <c r="B135" s="81" t="s">
        <v>84</v>
      </c>
      <c r="C135" s="77" t="s">
        <v>205</v>
      </c>
      <c r="D135" s="51" t="s">
        <v>50</v>
      </c>
      <c r="E135" s="51" t="s">
        <v>209</v>
      </c>
      <c r="F135" s="51" t="s">
        <v>18</v>
      </c>
      <c r="G135" s="52">
        <v>1</v>
      </c>
      <c r="H135" s="53">
        <f t="shared" si="32"/>
        <v>46265</v>
      </c>
      <c r="I135" s="53">
        <f t="shared" si="33"/>
        <v>46266</v>
      </c>
      <c r="J135" s="54">
        <f t="shared" si="34"/>
        <v>1</v>
      </c>
      <c r="K135" s="102" t="s">
        <v>22</v>
      </c>
    </row>
    <row r="136" spans="1:11">
      <c r="A136" s="51" t="str" cm="1">
        <f t="array" ref="A136">INDEX('Sprint Calendar'!$A:$A, MATCH(1, ('Project Planning - C'!I136 &gt;= 'Sprint Calendar'!$B:$B) * ('Project Planning - C'!H136 &lt;= 'Sprint Calendar'!$C:$C), 0))</f>
        <v>Sprint 21</v>
      </c>
      <c r="B136" s="81" t="s">
        <v>84</v>
      </c>
      <c r="C136" s="77" t="s">
        <v>205</v>
      </c>
      <c r="D136" s="51" t="s">
        <v>50</v>
      </c>
      <c r="E136" s="51" t="s">
        <v>210</v>
      </c>
      <c r="F136" s="51" t="s">
        <v>18</v>
      </c>
      <c r="G136" s="52">
        <v>2</v>
      </c>
      <c r="H136" s="53">
        <f t="shared" si="32"/>
        <v>46267</v>
      </c>
      <c r="I136" s="53">
        <f t="shared" si="33"/>
        <v>46269</v>
      </c>
      <c r="J136" s="54">
        <f t="shared" si="34"/>
        <v>2</v>
      </c>
      <c r="K136" s="102" t="s">
        <v>22</v>
      </c>
    </row>
    <row r="137" spans="1:11">
      <c r="A137" s="51" t="str" cm="1">
        <f t="array" ref="A137">INDEX('Sprint Calendar'!$A:$A, MATCH(1, ('Project Planning - C'!I137 &gt;= 'Sprint Calendar'!$B:$B) * ('Project Planning - C'!H137 &lt;= 'Sprint Calendar'!$C:$C), 0))</f>
        <v>Sprint 21</v>
      </c>
      <c r="B137" s="81" t="s">
        <v>84</v>
      </c>
      <c r="C137" s="77" t="s">
        <v>205</v>
      </c>
      <c r="D137" s="51" t="s">
        <v>278</v>
      </c>
      <c r="E137" s="51" t="s">
        <v>211</v>
      </c>
      <c r="F137" s="51" t="s">
        <v>18</v>
      </c>
      <c r="G137" s="52">
        <v>1</v>
      </c>
      <c r="H137" s="53">
        <f t="shared" si="32"/>
        <v>46272</v>
      </c>
      <c r="I137" s="53">
        <f t="shared" si="33"/>
        <v>46273</v>
      </c>
      <c r="J137" s="54">
        <f t="shared" si="34"/>
        <v>1</v>
      </c>
      <c r="K137" s="102" t="s">
        <v>22</v>
      </c>
    </row>
    <row r="138" spans="1:11">
      <c r="A138" s="51" t="str" cm="1">
        <f t="array" ref="A138">INDEX('Sprint Calendar'!$A:$A, MATCH(1, ('Project Planning - C'!I138 &gt;= 'Sprint Calendar'!$B:$B) * ('Project Planning - C'!H138 &lt;= 'Sprint Calendar'!$C:$C), 0))</f>
        <v>Sprint 21</v>
      </c>
      <c r="B138" s="81" t="s">
        <v>84</v>
      </c>
      <c r="C138" s="77" t="s">
        <v>212</v>
      </c>
      <c r="D138" s="51" t="s">
        <v>46</v>
      </c>
      <c r="E138" s="51" t="s">
        <v>213</v>
      </c>
      <c r="F138" s="51" t="s">
        <v>18</v>
      </c>
      <c r="G138" s="52">
        <v>1</v>
      </c>
      <c r="H138" s="53">
        <f t="shared" si="32"/>
        <v>46274</v>
      </c>
      <c r="I138" s="53">
        <f t="shared" si="33"/>
        <v>46275</v>
      </c>
      <c r="J138" s="54">
        <f t="shared" si="34"/>
        <v>1</v>
      </c>
      <c r="K138" s="102" t="s">
        <v>22</v>
      </c>
    </row>
    <row r="139" spans="1:11">
      <c r="A139" s="51" t="str" cm="1">
        <f t="array" ref="A139">INDEX('Sprint Calendar'!$A:$A, MATCH(1, ('Project Planning - C'!I139 &gt;= 'Sprint Calendar'!$B:$B) * ('Project Planning - C'!H139 &lt;= 'Sprint Calendar'!$C:$C), 0))</f>
        <v>Sprint 21</v>
      </c>
      <c r="B139" s="81" t="s">
        <v>84</v>
      </c>
      <c r="C139" s="77" t="s">
        <v>212</v>
      </c>
      <c r="D139" s="51" t="s">
        <v>46</v>
      </c>
      <c r="E139" s="51" t="s">
        <v>214</v>
      </c>
      <c r="F139" s="51" t="s">
        <v>18</v>
      </c>
      <c r="G139" s="52">
        <v>1</v>
      </c>
      <c r="H139" s="53">
        <f t="shared" si="32"/>
        <v>46276</v>
      </c>
      <c r="I139" s="53">
        <f t="shared" si="33"/>
        <v>46279</v>
      </c>
      <c r="J139" s="54">
        <f t="shared" si="34"/>
        <v>1</v>
      </c>
      <c r="K139" s="102" t="s">
        <v>22</v>
      </c>
    </row>
    <row r="140" spans="1:11">
      <c r="A140" s="51" t="str" cm="1">
        <f t="array" ref="A140">INDEX('Sprint Calendar'!$A:$A, MATCH(1, ('Project Planning - C'!I140 &gt;= 'Sprint Calendar'!$B:$B) * ('Project Planning - C'!H140 &lt;= 'Sprint Calendar'!$C:$C), 0))</f>
        <v>Sprint 22</v>
      </c>
      <c r="B140" s="81" t="s">
        <v>84</v>
      </c>
      <c r="C140" s="77" t="s">
        <v>212</v>
      </c>
      <c r="D140" s="51" t="s">
        <v>50</v>
      </c>
      <c r="E140" s="51" t="s">
        <v>216</v>
      </c>
      <c r="F140" s="51" t="s">
        <v>18</v>
      </c>
      <c r="G140" s="52">
        <v>1</v>
      </c>
      <c r="H140" s="53">
        <f t="shared" si="32"/>
        <v>46280</v>
      </c>
      <c r="I140" s="53">
        <f t="shared" si="33"/>
        <v>46281</v>
      </c>
      <c r="J140" s="54">
        <f t="shared" si="34"/>
        <v>1</v>
      </c>
      <c r="K140" s="102" t="s">
        <v>22</v>
      </c>
    </row>
    <row r="141" spans="1:11">
      <c r="A141" s="51" t="str" cm="1">
        <f t="array" ref="A141">INDEX('Sprint Calendar'!$A:$A, MATCH(1, ('Project Planning - C'!I141 &gt;= 'Sprint Calendar'!$B:$B) * ('Project Planning - C'!H141 &lt;= 'Sprint Calendar'!$C:$C), 0))</f>
        <v>Sprint 22</v>
      </c>
      <c r="B141" s="81" t="s">
        <v>84</v>
      </c>
      <c r="C141" s="77" t="s">
        <v>212</v>
      </c>
      <c r="D141" s="51" t="s">
        <v>50</v>
      </c>
      <c r="E141" s="51" t="s">
        <v>217</v>
      </c>
      <c r="F141" s="51" t="s">
        <v>18</v>
      </c>
      <c r="G141" s="52">
        <v>2</v>
      </c>
      <c r="H141" s="53">
        <f t="shared" si="32"/>
        <v>46282</v>
      </c>
      <c r="I141" s="53">
        <f t="shared" si="33"/>
        <v>46286</v>
      </c>
      <c r="J141" s="54">
        <f t="shared" si="34"/>
        <v>2</v>
      </c>
      <c r="K141" s="102" t="s">
        <v>22</v>
      </c>
    </row>
    <row r="142" spans="1:11">
      <c r="A142" s="51" t="str" cm="1">
        <f t="array" ref="A142">INDEX('Sprint Calendar'!$A:$A, MATCH(1, ('Project Planning - C'!I142 &gt;= 'Sprint Calendar'!$B:$B) * ('Project Planning - C'!H142 &lt;= 'Sprint Calendar'!$C:$C), 0))</f>
        <v>Sprint 22</v>
      </c>
      <c r="B142" s="81" t="s">
        <v>84</v>
      </c>
      <c r="C142" s="77" t="s">
        <v>212</v>
      </c>
      <c r="D142" s="51" t="s">
        <v>278</v>
      </c>
      <c r="E142" s="51" t="s">
        <v>218</v>
      </c>
      <c r="F142" s="51" t="s">
        <v>18</v>
      </c>
      <c r="G142" s="52">
        <v>1</v>
      </c>
      <c r="H142" s="53">
        <f t="shared" si="32"/>
        <v>46287</v>
      </c>
      <c r="I142" s="53">
        <f t="shared" si="33"/>
        <v>46288</v>
      </c>
      <c r="J142" s="54">
        <f t="shared" si="34"/>
        <v>1</v>
      </c>
      <c r="K142" s="102" t="s">
        <v>22</v>
      </c>
    </row>
    <row r="143" spans="1:11">
      <c r="A143" s="51" t="str" cm="1">
        <f t="array" ref="A143">INDEX('Sprint Calendar'!$A:$A, MATCH(1, ('Project Planning - C'!I143 &gt;= 'Sprint Calendar'!$B:$B) * ('Project Planning - C'!H143 &lt;= 'Sprint Calendar'!$C:$C), 0))</f>
        <v>Sprint 8</v>
      </c>
      <c r="B143" s="81" t="s">
        <v>84</v>
      </c>
      <c r="C143" s="77" t="s">
        <v>219</v>
      </c>
      <c r="D143" s="51" t="s">
        <v>46</v>
      </c>
      <c r="E143" s="51" t="s">
        <v>220</v>
      </c>
      <c r="F143" s="51" t="s">
        <v>86</v>
      </c>
      <c r="G143" s="52">
        <v>2</v>
      </c>
      <c r="H143" s="53">
        <f>WORKDAY(I52,1)</f>
        <v>46087</v>
      </c>
      <c r="I143" s="53">
        <f t="shared" si="27"/>
        <v>46091</v>
      </c>
      <c r="J143" s="54">
        <f>G143/$N$7</f>
        <v>2</v>
      </c>
      <c r="K143" s="102" t="s">
        <v>22</v>
      </c>
    </row>
    <row r="144" spans="1:11">
      <c r="A144" s="51" t="str" cm="1">
        <f t="array" ref="A144">INDEX('Sprint Calendar'!$A:$A, MATCH(1, ('Project Planning - C'!I144 &gt;= 'Sprint Calendar'!$B:$B) * ('Project Planning - C'!H144 &lt;= 'Sprint Calendar'!$C:$C), 0))</f>
        <v>Sprint 8</v>
      </c>
      <c r="B144" s="81" t="s">
        <v>84</v>
      </c>
      <c r="C144" s="77" t="s">
        <v>219</v>
      </c>
      <c r="D144" s="51" t="s">
        <v>46</v>
      </c>
      <c r="E144" s="51" t="s">
        <v>221</v>
      </c>
      <c r="F144" s="51" t="s">
        <v>86</v>
      </c>
      <c r="G144" s="52">
        <v>2</v>
      </c>
      <c r="H144" s="53">
        <f t="shared" si="26"/>
        <v>46092</v>
      </c>
      <c r="I144" s="53">
        <f t="shared" si="27"/>
        <v>46094</v>
      </c>
      <c r="J144" s="54">
        <f t="shared" ref="J144:J150" si="35">G144/$N$7</f>
        <v>2</v>
      </c>
      <c r="K144" s="102" t="s">
        <v>22</v>
      </c>
    </row>
    <row r="145" spans="1:11">
      <c r="A145" s="51" t="str" cm="1">
        <f t="array" ref="A145">INDEX('Sprint Calendar'!$A:$A, MATCH(1, ('Project Planning - C'!I145 &gt;= 'Sprint Calendar'!$B:$B) * ('Project Planning - C'!H145 &lt;= 'Sprint Calendar'!$C:$C), 0))</f>
        <v>Sprint 9</v>
      </c>
      <c r="B145" s="81" t="s">
        <v>84</v>
      </c>
      <c r="C145" s="77" t="s">
        <v>219</v>
      </c>
      <c r="D145" s="51" t="s">
        <v>50</v>
      </c>
      <c r="E145" s="51" t="s">
        <v>222</v>
      </c>
      <c r="F145" s="51" t="s">
        <v>86</v>
      </c>
      <c r="G145" s="52">
        <v>3.5</v>
      </c>
      <c r="H145" s="53">
        <f t="shared" si="26"/>
        <v>46097</v>
      </c>
      <c r="I145" s="53">
        <f t="shared" si="27"/>
        <v>46100</v>
      </c>
      <c r="J145" s="54">
        <f t="shared" si="35"/>
        <v>3.5</v>
      </c>
      <c r="K145" s="102" t="s">
        <v>22</v>
      </c>
    </row>
    <row r="146" spans="1:11">
      <c r="A146" s="51" t="str" cm="1">
        <f t="array" ref="A146">INDEX('Sprint Calendar'!$A:$A, MATCH(1, ('Project Planning - C'!I146 &gt;= 'Sprint Calendar'!$B:$B) * ('Project Planning - C'!H146 &lt;= 'Sprint Calendar'!$C:$C), 0))</f>
        <v>Sprint 9</v>
      </c>
      <c r="B146" s="81" t="s">
        <v>84</v>
      </c>
      <c r="C146" s="77" t="s">
        <v>219</v>
      </c>
      <c r="D146" s="51" t="s">
        <v>50</v>
      </c>
      <c r="E146" s="51" t="s">
        <v>223</v>
      </c>
      <c r="F146" s="51" t="s">
        <v>86</v>
      </c>
      <c r="G146" s="52">
        <v>4</v>
      </c>
      <c r="H146" s="53">
        <f t="shared" si="26"/>
        <v>46101</v>
      </c>
      <c r="I146" s="53">
        <f t="shared" si="27"/>
        <v>46107</v>
      </c>
      <c r="J146" s="54">
        <f t="shared" si="35"/>
        <v>4</v>
      </c>
      <c r="K146" s="102" t="s">
        <v>22</v>
      </c>
    </row>
    <row r="147" spans="1:11">
      <c r="A147" s="51" t="str" cm="1">
        <f t="array" ref="A147">INDEX('Sprint Calendar'!$A:$A, MATCH(1, ('Project Planning - C'!I147 &gt;= 'Sprint Calendar'!$B:$B) * ('Project Planning - C'!H147 &lt;= 'Sprint Calendar'!$C:$C), 0))</f>
        <v>Sprint 9</v>
      </c>
      <c r="B147" s="81" t="s">
        <v>84</v>
      </c>
      <c r="C147" s="77" t="s">
        <v>219</v>
      </c>
      <c r="D147" s="51" t="s">
        <v>278</v>
      </c>
      <c r="E147" s="51" t="s">
        <v>224</v>
      </c>
      <c r="F147" s="51" t="s">
        <v>86</v>
      </c>
      <c r="G147" s="52">
        <v>1.5</v>
      </c>
      <c r="H147" s="53">
        <f t="shared" si="26"/>
        <v>46108</v>
      </c>
      <c r="I147" s="53">
        <f t="shared" si="27"/>
        <v>46111</v>
      </c>
      <c r="J147" s="54">
        <f t="shared" si="35"/>
        <v>1.5</v>
      </c>
      <c r="K147" s="102" t="s">
        <v>22</v>
      </c>
    </row>
    <row r="148" spans="1:11">
      <c r="A148" s="51" t="str" cm="1">
        <f t="array" ref="A148">INDEX('Sprint Calendar'!$A:$A, MATCH(1, ('Project Planning - C'!I148 &gt;= 'Sprint Calendar'!$B:$B) * ('Project Planning - C'!H148 &lt;= 'Sprint Calendar'!$C:$C), 0))</f>
        <v>Sprint 10</v>
      </c>
      <c r="B148" s="81" t="s">
        <v>84</v>
      </c>
      <c r="C148" s="77" t="s">
        <v>225</v>
      </c>
      <c r="D148" s="51" t="s">
        <v>46</v>
      </c>
      <c r="E148" s="51" t="s">
        <v>226</v>
      </c>
      <c r="F148" s="51" t="s">
        <v>86</v>
      </c>
      <c r="G148" s="52">
        <v>2</v>
      </c>
      <c r="H148" s="53">
        <f t="shared" si="26"/>
        <v>46112</v>
      </c>
      <c r="I148" s="53">
        <f t="shared" si="27"/>
        <v>46114</v>
      </c>
      <c r="J148" s="54">
        <f t="shared" si="35"/>
        <v>2</v>
      </c>
      <c r="K148" s="102" t="s">
        <v>22</v>
      </c>
    </row>
    <row r="149" spans="1:11">
      <c r="A149" s="51" t="str" cm="1">
        <f t="array" ref="A149">INDEX('Sprint Calendar'!$A:$A, MATCH(1, ('Project Planning - C'!I149 &gt;= 'Sprint Calendar'!$B:$B) * ('Project Planning - C'!H149 &lt;= 'Sprint Calendar'!$C:$C), 0))</f>
        <v>Sprint 10</v>
      </c>
      <c r="B149" s="81" t="s">
        <v>84</v>
      </c>
      <c r="C149" s="77" t="s">
        <v>225</v>
      </c>
      <c r="D149" s="51" t="s">
        <v>46</v>
      </c>
      <c r="E149" s="51" t="s">
        <v>227</v>
      </c>
      <c r="F149" s="51" t="s">
        <v>86</v>
      </c>
      <c r="G149" s="52">
        <v>2</v>
      </c>
      <c r="H149" s="53">
        <f t="shared" si="26"/>
        <v>46115</v>
      </c>
      <c r="I149" s="53">
        <f t="shared" si="27"/>
        <v>46119</v>
      </c>
      <c r="J149" s="54">
        <f t="shared" si="35"/>
        <v>2</v>
      </c>
      <c r="K149" s="102" t="s">
        <v>22</v>
      </c>
    </row>
    <row r="150" spans="1:11">
      <c r="A150" s="51" t="str" cm="1">
        <f t="array" ref="A150">INDEX('Sprint Calendar'!$A:$A, MATCH(1, ('Project Planning - C'!I150 &gt;= 'Sprint Calendar'!$B:$B) * ('Project Planning - C'!H150 &lt;= 'Sprint Calendar'!$C:$C), 0))</f>
        <v>Sprint 10</v>
      </c>
      <c r="B150" s="81" t="s">
        <v>84</v>
      </c>
      <c r="C150" s="77" t="s">
        <v>225</v>
      </c>
      <c r="D150" s="51" t="s">
        <v>50</v>
      </c>
      <c r="E150" s="51" t="s">
        <v>228</v>
      </c>
      <c r="F150" s="51" t="s">
        <v>86</v>
      </c>
      <c r="G150" s="52">
        <v>2.5</v>
      </c>
      <c r="H150" s="53">
        <f t="shared" si="26"/>
        <v>46120</v>
      </c>
      <c r="I150" s="53">
        <f t="shared" si="27"/>
        <v>46122</v>
      </c>
      <c r="J150" s="54">
        <f t="shared" si="35"/>
        <v>2.5</v>
      </c>
      <c r="K150" s="102" t="s">
        <v>22</v>
      </c>
    </row>
    <row r="151" spans="1:11">
      <c r="A151" s="51" t="str" cm="1">
        <f t="array" ref="A151">INDEX('Sprint Calendar'!$A:$A, MATCH(1, ('Project Planning - C'!I151 &gt;= 'Sprint Calendar'!$B:$B) * ('Project Planning - C'!H151 &lt;= 'Sprint Calendar'!$C:$C), 0))</f>
        <v>Sprint 11</v>
      </c>
      <c r="B151" s="81" t="s">
        <v>84</v>
      </c>
      <c r="C151" s="77" t="s">
        <v>225</v>
      </c>
      <c r="D151" s="51" t="s">
        <v>50</v>
      </c>
      <c r="E151" s="51" t="s">
        <v>229</v>
      </c>
      <c r="F151" s="51" t="s">
        <v>86</v>
      </c>
      <c r="G151" s="52">
        <v>4.5</v>
      </c>
      <c r="H151" s="53">
        <f t="shared" si="26"/>
        <v>46125</v>
      </c>
      <c r="I151" s="53">
        <f t="shared" si="27"/>
        <v>46129</v>
      </c>
      <c r="J151" s="54">
        <f>G151/$N$7</f>
        <v>4.5</v>
      </c>
      <c r="K151" s="102" t="s">
        <v>22</v>
      </c>
    </row>
    <row r="152" spans="1:11">
      <c r="A152" s="51" t="str" cm="1">
        <f t="array" ref="A152">INDEX('Sprint Calendar'!$A:$A, MATCH(1, ('Project Planning - C'!I152 &gt;= 'Sprint Calendar'!$B:$B) * ('Project Planning - C'!H152 &lt;= 'Sprint Calendar'!$C:$C), 0))</f>
        <v>Sprint 11</v>
      </c>
      <c r="B152" s="81" t="s">
        <v>84</v>
      </c>
      <c r="C152" s="77" t="s">
        <v>225</v>
      </c>
      <c r="D152" s="51" t="s">
        <v>278</v>
      </c>
      <c r="E152" s="51" t="s">
        <v>230</v>
      </c>
      <c r="F152" s="51" t="s">
        <v>86</v>
      </c>
      <c r="G152" s="52">
        <v>2</v>
      </c>
      <c r="H152" s="53">
        <f t="shared" si="26"/>
        <v>46132</v>
      </c>
      <c r="I152" s="53">
        <f t="shared" si="27"/>
        <v>46134</v>
      </c>
      <c r="J152" s="54">
        <f t="shared" ref="J152:J176" si="36">G152/$N$7</f>
        <v>2</v>
      </c>
      <c r="K152" s="102" t="s">
        <v>22</v>
      </c>
    </row>
    <row r="153" spans="1:11">
      <c r="A153" s="51" t="str" cm="1">
        <f t="array" ref="A153">INDEX('Sprint Calendar'!$A:$A, MATCH(1, ('Project Planning - C'!I153 &gt;= 'Sprint Calendar'!$B:$B) * ('Project Planning - C'!H153 &lt;= 'Sprint Calendar'!$C:$C), 0))</f>
        <v>Sprint 11</v>
      </c>
      <c r="B153" s="81" t="s">
        <v>84</v>
      </c>
      <c r="C153" s="77" t="s">
        <v>231</v>
      </c>
      <c r="D153" s="51" t="s">
        <v>46</v>
      </c>
      <c r="E153" s="51" t="s">
        <v>232</v>
      </c>
      <c r="F153" s="51" t="s">
        <v>86</v>
      </c>
      <c r="G153" s="52">
        <v>1</v>
      </c>
      <c r="H153" s="53">
        <f>WORKDAY(I152,1)</f>
        <v>46135</v>
      </c>
      <c r="I153" s="53">
        <f t="shared" si="27"/>
        <v>46136</v>
      </c>
      <c r="J153" s="54">
        <f t="shared" si="36"/>
        <v>1</v>
      </c>
      <c r="K153" s="102" t="s">
        <v>22</v>
      </c>
    </row>
    <row r="154" spans="1:11">
      <c r="A154" s="51" t="str" cm="1">
        <f t="array" ref="A154">INDEX('Sprint Calendar'!$A:$A, MATCH(1, ('Project Planning - C'!I154 &gt;= 'Sprint Calendar'!$B:$B) * ('Project Planning - C'!H154 &lt;= 'Sprint Calendar'!$C:$C), 0))</f>
        <v>Sprint 12</v>
      </c>
      <c r="B154" s="81" t="s">
        <v>84</v>
      </c>
      <c r="C154" s="77" t="s">
        <v>231</v>
      </c>
      <c r="D154" s="51" t="s">
        <v>46</v>
      </c>
      <c r="E154" s="51" t="s">
        <v>233</v>
      </c>
      <c r="F154" s="51" t="s">
        <v>86</v>
      </c>
      <c r="G154" s="52">
        <v>1</v>
      </c>
      <c r="H154" s="53">
        <f t="shared" si="26"/>
        <v>46139</v>
      </c>
      <c r="I154" s="53">
        <f t="shared" si="27"/>
        <v>46140</v>
      </c>
      <c r="J154" s="54">
        <f t="shared" si="36"/>
        <v>1</v>
      </c>
      <c r="K154" s="102" t="s">
        <v>22</v>
      </c>
    </row>
    <row r="155" spans="1:11">
      <c r="A155" s="51" t="str" cm="1">
        <f t="array" ref="A155">INDEX('Sprint Calendar'!$A:$A, MATCH(1, ('Project Planning - C'!I155 &gt;= 'Sprint Calendar'!$B:$B) * ('Project Planning - C'!H155 &lt;= 'Sprint Calendar'!$C:$C), 0))</f>
        <v>Sprint 12</v>
      </c>
      <c r="B155" s="81" t="s">
        <v>84</v>
      </c>
      <c r="C155" s="77" t="s">
        <v>231</v>
      </c>
      <c r="D155" s="51" t="s">
        <v>50</v>
      </c>
      <c r="E155" s="51" t="s">
        <v>234</v>
      </c>
      <c r="F155" s="51" t="s">
        <v>86</v>
      </c>
      <c r="G155" s="52">
        <v>1</v>
      </c>
      <c r="H155" s="53">
        <f t="shared" si="26"/>
        <v>46141</v>
      </c>
      <c r="I155" s="53">
        <f t="shared" si="27"/>
        <v>46142</v>
      </c>
      <c r="J155" s="54">
        <f t="shared" si="36"/>
        <v>1</v>
      </c>
      <c r="K155" s="102" t="s">
        <v>22</v>
      </c>
    </row>
    <row r="156" spans="1:11">
      <c r="A156" s="51" t="str" cm="1">
        <f t="array" ref="A156">INDEX('Sprint Calendar'!$A:$A, MATCH(1, ('Project Planning - C'!I156 &gt;= 'Sprint Calendar'!$B:$B) * ('Project Planning - C'!H156 &lt;= 'Sprint Calendar'!$C:$C), 0))</f>
        <v>Sprint 12</v>
      </c>
      <c r="B156" s="81" t="s">
        <v>84</v>
      </c>
      <c r="C156" s="77" t="s">
        <v>231</v>
      </c>
      <c r="D156" s="51" t="s">
        <v>50</v>
      </c>
      <c r="E156" s="51" t="s">
        <v>235</v>
      </c>
      <c r="F156" s="51" t="s">
        <v>86</v>
      </c>
      <c r="G156" s="52">
        <v>2</v>
      </c>
      <c r="H156" s="53">
        <f t="shared" si="26"/>
        <v>46143</v>
      </c>
      <c r="I156" s="53">
        <f t="shared" si="27"/>
        <v>46147</v>
      </c>
      <c r="J156" s="54">
        <f t="shared" si="36"/>
        <v>2</v>
      </c>
      <c r="K156" s="102" t="s">
        <v>22</v>
      </c>
    </row>
    <row r="157" spans="1:11">
      <c r="A157" s="51" t="str" cm="1">
        <f t="array" ref="A157">INDEX('Sprint Calendar'!$A:$A, MATCH(1, ('Project Planning - C'!I157 &gt;= 'Sprint Calendar'!$B:$B) * ('Project Planning - C'!H157 &lt;= 'Sprint Calendar'!$C:$C), 0))</f>
        <v>Sprint 12</v>
      </c>
      <c r="B157" s="81" t="s">
        <v>84</v>
      </c>
      <c r="C157" s="77" t="s">
        <v>231</v>
      </c>
      <c r="D157" s="51" t="s">
        <v>278</v>
      </c>
      <c r="E157" s="51" t="s">
        <v>236</v>
      </c>
      <c r="F157" s="51" t="s">
        <v>86</v>
      </c>
      <c r="G157" s="52">
        <v>1</v>
      </c>
      <c r="H157" s="53">
        <f t="shared" si="26"/>
        <v>46148</v>
      </c>
      <c r="I157" s="53">
        <f t="shared" si="27"/>
        <v>46149</v>
      </c>
      <c r="J157" s="54">
        <f t="shared" si="36"/>
        <v>1</v>
      </c>
      <c r="K157" s="102" t="s">
        <v>22</v>
      </c>
    </row>
    <row r="158" spans="1:11">
      <c r="A158" s="51" t="str" cm="1">
        <f t="array" ref="A158">INDEX('Sprint Calendar'!$A:$A, MATCH(1, ('Project Planning - C'!I158 &gt;= 'Sprint Calendar'!$B:$B) * ('Project Planning - C'!H158 &lt;= 'Sprint Calendar'!$C:$C), 0))</f>
        <v>Sprint 12</v>
      </c>
      <c r="B158" s="81" t="s">
        <v>84</v>
      </c>
      <c r="C158" s="77" t="s">
        <v>237</v>
      </c>
      <c r="D158" s="51" t="s">
        <v>46</v>
      </c>
      <c r="E158" s="51" t="s">
        <v>238</v>
      </c>
      <c r="F158" s="51" t="s">
        <v>86</v>
      </c>
      <c r="G158" s="52">
        <v>1</v>
      </c>
      <c r="H158" s="53">
        <f t="shared" si="26"/>
        <v>46150</v>
      </c>
      <c r="I158" s="53">
        <f t="shared" si="27"/>
        <v>46153</v>
      </c>
      <c r="J158" s="54">
        <f t="shared" si="36"/>
        <v>1</v>
      </c>
      <c r="K158" s="102" t="s">
        <v>22</v>
      </c>
    </row>
    <row r="159" spans="1:11">
      <c r="A159" s="51" t="str" cm="1">
        <f t="array" ref="A159">INDEX('Sprint Calendar'!$A:$A, MATCH(1, ('Project Planning - C'!I159 &gt;= 'Sprint Calendar'!$B:$B) * ('Project Planning - C'!H159 &lt;= 'Sprint Calendar'!$C:$C), 0))</f>
        <v>Sprint 13</v>
      </c>
      <c r="B159" s="81" t="s">
        <v>84</v>
      </c>
      <c r="C159" s="77" t="s">
        <v>237</v>
      </c>
      <c r="D159" s="51" t="s">
        <v>46</v>
      </c>
      <c r="E159" s="51" t="s">
        <v>239</v>
      </c>
      <c r="F159" s="51" t="s">
        <v>86</v>
      </c>
      <c r="G159" s="52">
        <v>1</v>
      </c>
      <c r="H159" s="53">
        <f t="shared" si="26"/>
        <v>46154</v>
      </c>
      <c r="I159" s="53">
        <f t="shared" si="27"/>
        <v>46155</v>
      </c>
      <c r="J159" s="54">
        <f t="shared" si="36"/>
        <v>1</v>
      </c>
      <c r="K159" s="102" t="s">
        <v>22</v>
      </c>
    </row>
    <row r="160" spans="1:11">
      <c r="A160" s="51" t="str" cm="1">
        <f t="array" ref="A160">INDEX('Sprint Calendar'!$A:$A, MATCH(1, ('Project Planning - C'!I160 &gt;= 'Sprint Calendar'!$B:$B) * ('Project Planning - C'!H160 &lt;= 'Sprint Calendar'!$C:$C), 0))</f>
        <v>Sprint 13</v>
      </c>
      <c r="B160" s="81" t="s">
        <v>84</v>
      </c>
      <c r="C160" s="77" t="s">
        <v>237</v>
      </c>
      <c r="D160" s="51" t="s">
        <v>50</v>
      </c>
      <c r="E160" s="51" t="s">
        <v>240</v>
      </c>
      <c r="F160" s="51" t="s">
        <v>86</v>
      </c>
      <c r="G160" s="52">
        <v>3</v>
      </c>
      <c r="H160" s="53">
        <f t="shared" si="26"/>
        <v>46156</v>
      </c>
      <c r="I160" s="53">
        <f t="shared" si="27"/>
        <v>46161</v>
      </c>
      <c r="J160" s="54">
        <f t="shared" si="36"/>
        <v>3</v>
      </c>
      <c r="K160" s="102" t="s">
        <v>22</v>
      </c>
    </row>
    <row r="161" spans="1:11">
      <c r="A161" s="51" t="str" cm="1">
        <f t="array" ref="A161">INDEX('Sprint Calendar'!$A:$A, MATCH(1, ('Project Planning - C'!I161 &gt;= 'Sprint Calendar'!$B:$B) * ('Project Planning - C'!H161 &lt;= 'Sprint Calendar'!$C:$C), 0))</f>
        <v>Sprint 13</v>
      </c>
      <c r="B161" s="81" t="s">
        <v>84</v>
      </c>
      <c r="C161" s="77" t="s">
        <v>237</v>
      </c>
      <c r="D161" s="51" t="s">
        <v>50</v>
      </c>
      <c r="E161" s="51" t="s">
        <v>241</v>
      </c>
      <c r="F161" s="51" t="s">
        <v>86</v>
      </c>
      <c r="G161" s="52">
        <v>4</v>
      </c>
      <c r="H161" s="53">
        <f t="shared" si="26"/>
        <v>46162</v>
      </c>
      <c r="I161" s="53">
        <f t="shared" si="27"/>
        <v>46168</v>
      </c>
      <c r="J161" s="54">
        <f t="shared" si="36"/>
        <v>4</v>
      </c>
      <c r="K161" s="102" t="s">
        <v>22</v>
      </c>
    </row>
    <row r="162" spans="1:11">
      <c r="A162" s="51" t="str" cm="1">
        <f t="array" ref="A162">INDEX('Sprint Calendar'!$A:$A, MATCH(1, ('Project Planning - C'!I162 &gt;= 'Sprint Calendar'!$B:$B) * ('Project Planning - C'!H162 &lt;= 'Sprint Calendar'!$C:$C), 0))</f>
        <v>Sprint 14</v>
      </c>
      <c r="B162" s="81" t="s">
        <v>84</v>
      </c>
      <c r="C162" s="77" t="s">
        <v>237</v>
      </c>
      <c r="D162" s="51" t="s">
        <v>278</v>
      </c>
      <c r="E162" s="51" t="s">
        <v>242</v>
      </c>
      <c r="F162" s="51" t="s">
        <v>86</v>
      </c>
      <c r="G162" s="52">
        <v>2</v>
      </c>
      <c r="H162" s="53">
        <f t="shared" si="26"/>
        <v>46169</v>
      </c>
      <c r="I162" s="53">
        <f t="shared" si="27"/>
        <v>46171</v>
      </c>
      <c r="J162" s="54">
        <f t="shared" si="36"/>
        <v>2</v>
      </c>
      <c r="K162" s="102" t="s">
        <v>22</v>
      </c>
    </row>
    <row r="163" spans="1:11">
      <c r="A163" s="51" t="str" cm="1">
        <f t="array" ref="A163">INDEX('Sprint Calendar'!$A:$A, MATCH(1, ('Project Planning - C'!I163 &gt;= 'Sprint Calendar'!$B:$B) * ('Project Planning - C'!H163 &lt;= 'Sprint Calendar'!$C:$C), 0))</f>
        <v>Sprint 14</v>
      </c>
      <c r="B163" s="81" t="s">
        <v>84</v>
      </c>
      <c r="C163" s="77" t="s">
        <v>243</v>
      </c>
      <c r="D163" s="51" t="s">
        <v>46</v>
      </c>
      <c r="E163" s="51" t="s">
        <v>244</v>
      </c>
      <c r="F163" s="51" t="s">
        <v>86</v>
      </c>
      <c r="G163" s="52">
        <v>1</v>
      </c>
      <c r="H163" s="53">
        <f t="shared" si="26"/>
        <v>46174</v>
      </c>
      <c r="I163" s="53">
        <f t="shared" si="27"/>
        <v>46175</v>
      </c>
      <c r="J163" s="54">
        <f t="shared" si="36"/>
        <v>1</v>
      </c>
      <c r="K163" s="102" t="s">
        <v>22</v>
      </c>
    </row>
    <row r="164" spans="1:11">
      <c r="A164" s="51" t="str" cm="1">
        <f t="array" ref="A164">INDEX('Sprint Calendar'!$A:$A, MATCH(1, ('Project Planning - C'!I164 &gt;= 'Sprint Calendar'!$B:$B) * ('Project Planning - C'!H164 &lt;= 'Sprint Calendar'!$C:$C), 0))</f>
        <v>Sprint 14</v>
      </c>
      <c r="B164" s="81" t="s">
        <v>84</v>
      </c>
      <c r="C164" s="77" t="s">
        <v>243</v>
      </c>
      <c r="D164" s="51" t="s">
        <v>46</v>
      </c>
      <c r="E164" s="51" t="s">
        <v>245</v>
      </c>
      <c r="F164" s="51" t="s">
        <v>86</v>
      </c>
      <c r="G164" s="52">
        <v>1</v>
      </c>
      <c r="H164" s="53">
        <f t="shared" si="26"/>
        <v>46176</v>
      </c>
      <c r="I164" s="53">
        <f t="shared" si="27"/>
        <v>46177</v>
      </c>
      <c r="J164" s="54">
        <f t="shared" si="36"/>
        <v>1</v>
      </c>
      <c r="K164" s="102" t="s">
        <v>22</v>
      </c>
    </row>
    <row r="165" spans="1:11">
      <c r="A165" s="51" t="str" cm="1">
        <f t="array" ref="A165">INDEX('Sprint Calendar'!$A:$A, MATCH(1, ('Project Planning - C'!I165 &gt;= 'Sprint Calendar'!$B:$B) * ('Project Planning - C'!H165 &lt;= 'Sprint Calendar'!$C:$C), 0))</f>
        <v>Sprint 14</v>
      </c>
      <c r="B165" s="81" t="s">
        <v>84</v>
      </c>
      <c r="C165" s="77" t="s">
        <v>243</v>
      </c>
      <c r="D165" s="51" t="s">
        <v>50</v>
      </c>
      <c r="E165" s="51" t="s">
        <v>246</v>
      </c>
      <c r="F165" s="51" t="s">
        <v>86</v>
      </c>
      <c r="G165" s="52">
        <v>2</v>
      </c>
      <c r="H165" s="53">
        <f t="shared" si="26"/>
        <v>46178</v>
      </c>
      <c r="I165" s="53">
        <f t="shared" si="27"/>
        <v>46182</v>
      </c>
      <c r="J165" s="54">
        <f t="shared" si="36"/>
        <v>2</v>
      </c>
      <c r="K165" s="102" t="s">
        <v>22</v>
      </c>
    </row>
    <row r="166" spans="1:11">
      <c r="A166" s="51" t="str" cm="1">
        <f t="array" ref="A166">INDEX('Sprint Calendar'!$A:$A, MATCH(1, ('Project Planning - C'!I166 &gt;= 'Sprint Calendar'!$B:$B) * ('Project Planning - C'!H166 &lt;= 'Sprint Calendar'!$C:$C), 0))</f>
        <v>Sprint 15</v>
      </c>
      <c r="B166" s="81" t="s">
        <v>84</v>
      </c>
      <c r="C166" s="77" t="s">
        <v>243</v>
      </c>
      <c r="D166" s="51" t="s">
        <v>50</v>
      </c>
      <c r="E166" s="51" t="s">
        <v>247</v>
      </c>
      <c r="F166" s="51" t="s">
        <v>86</v>
      </c>
      <c r="G166" s="52">
        <v>2</v>
      </c>
      <c r="H166" s="53">
        <f t="shared" si="26"/>
        <v>46183</v>
      </c>
      <c r="I166" s="53">
        <f t="shared" si="27"/>
        <v>46185</v>
      </c>
      <c r="J166" s="54">
        <f t="shared" si="36"/>
        <v>2</v>
      </c>
      <c r="K166" s="102" t="s">
        <v>22</v>
      </c>
    </row>
    <row r="167" spans="1:11">
      <c r="A167" s="51" t="str" cm="1">
        <f t="array" ref="A167">INDEX('Sprint Calendar'!$A:$A, MATCH(1, ('Project Planning - C'!I167 &gt;= 'Sprint Calendar'!$B:$B) * ('Project Planning - C'!H167 &lt;= 'Sprint Calendar'!$C:$C), 0))</f>
        <v>Sprint 15</v>
      </c>
      <c r="B167" s="81" t="s">
        <v>84</v>
      </c>
      <c r="C167" s="77" t="s">
        <v>243</v>
      </c>
      <c r="D167" s="51" t="s">
        <v>278</v>
      </c>
      <c r="E167" s="51" t="s">
        <v>248</v>
      </c>
      <c r="F167" s="51" t="s">
        <v>86</v>
      </c>
      <c r="G167" s="52">
        <v>1</v>
      </c>
      <c r="H167" s="53">
        <f t="shared" si="26"/>
        <v>46188</v>
      </c>
      <c r="I167" s="53">
        <f t="shared" si="27"/>
        <v>46189</v>
      </c>
      <c r="J167" s="54">
        <f t="shared" si="36"/>
        <v>1</v>
      </c>
      <c r="K167" s="102" t="s">
        <v>22</v>
      </c>
    </row>
    <row r="168" spans="1:11">
      <c r="A168" s="51" t="str" cm="1">
        <f t="array" ref="A168">INDEX('Sprint Calendar'!$A:$A, MATCH(1, ('Project Planning - C'!I168 &gt;= 'Sprint Calendar'!$B:$B) * ('Project Planning - C'!H168 &lt;= 'Sprint Calendar'!$C:$C), 0))</f>
        <v>Sprint 15</v>
      </c>
      <c r="B168" s="81" t="s">
        <v>84</v>
      </c>
      <c r="C168" s="77" t="s">
        <v>249</v>
      </c>
      <c r="D168" s="51" t="s">
        <v>46</v>
      </c>
      <c r="E168" s="51" t="s">
        <v>250</v>
      </c>
      <c r="F168" s="51" t="s">
        <v>86</v>
      </c>
      <c r="G168" s="52">
        <v>1</v>
      </c>
      <c r="H168" s="53">
        <f t="shared" si="26"/>
        <v>46190</v>
      </c>
      <c r="I168" s="53">
        <f t="shared" si="27"/>
        <v>46191</v>
      </c>
      <c r="J168" s="54">
        <f t="shared" si="36"/>
        <v>1</v>
      </c>
      <c r="K168" s="102" t="s">
        <v>22</v>
      </c>
    </row>
    <row r="169" spans="1:11">
      <c r="A169" s="51" t="str" cm="1">
        <f t="array" ref="A169">INDEX('Sprint Calendar'!$A:$A, MATCH(1, ('Project Planning - C'!I169 &gt;= 'Sprint Calendar'!$B:$B) * ('Project Planning - C'!H169 &lt;= 'Sprint Calendar'!$C:$C), 0))</f>
        <v>Sprint 15</v>
      </c>
      <c r="B169" s="81" t="s">
        <v>84</v>
      </c>
      <c r="C169" s="77" t="s">
        <v>249</v>
      </c>
      <c r="D169" s="51" t="s">
        <v>46</v>
      </c>
      <c r="E169" s="51" t="s">
        <v>251</v>
      </c>
      <c r="F169" s="51" t="s">
        <v>86</v>
      </c>
      <c r="G169" s="52">
        <v>1</v>
      </c>
      <c r="H169" s="53">
        <f t="shared" si="26"/>
        <v>46192</v>
      </c>
      <c r="I169" s="53">
        <f t="shared" si="27"/>
        <v>46195</v>
      </c>
      <c r="J169" s="54">
        <f t="shared" si="36"/>
        <v>1</v>
      </c>
      <c r="K169" s="102" t="s">
        <v>22</v>
      </c>
    </row>
    <row r="170" spans="1:11">
      <c r="A170" s="51" t="str" cm="1">
        <f t="array" ref="A170">INDEX('Sprint Calendar'!$A:$A, MATCH(1, ('Project Planning - C'!I170 &gt;= 'Sprint Calendar'!$B:$B) * ('Project Planning - C'!H170 &lt;= 'Sprint Calendar'!$C:$C), 0))</f>
        <v>Sprint 16</v>
      </c>
      <c r="B170" s="81" t="s">
        <v>84</v>
      </c>
      <c r="C170" s="77" t="s">
        <v>249</v>
      </c>
      <c r="D170" s="51" t="s">
        <v>50</v>
      </c>
      <c r="E170" s="51" t="s">
        <v>252</v>
      </c>
      <c r="F170" s="51" t="s">
        <v>86</v>
      </c>
      <c r="G170" s="52">
        <v>1</v>
      </c>
      <c r="H170" s="53">
        <f t="shared" si="26"/>
        <v>46196</v>
      </c>
      <c r="I170" s="53">
        <f t="shared" si="27"/>
        <v>46197</v>
      </c>
      <c r="J170" s="54">
        <f t="shared" si="36"/>
        <v>1</v>
      </c>
      <c r="K170" s="102" t="s">
        <v>22</v>
      </c>
    </row>
    <row r="171" spans="1:11">
      <c r="A171" s="51" t="str" cm="1">
        <f t="array" ref="A171">INDEX('Sprint Calendar'!$A:$A, MATCH(1, ('Project Planning - C'!I171 &gt;= 'Sprint Calendar'!$B:$B) * ('Project Planning - C'!H171 &lt;= 'Sprint Calendar'!$C:$C), 0))</f>
        <v>Sprint 16</v>
      </c>
      <c r="B171" s="81" t="s">
        <v>84</v>
      </c>
      <c r="C171" s="77" t="s">
        <v>249</v>
      </c>
      <c r="D171" s="51" t="s">
        <v>50</v>
      </c>
      <c r="E171" s="51" t="s">
        <v>253</v>
      </c>
      <c r="F171" s="51" t="s">
        <v>86</v>
      </c>
      <c r="G171" s="52">
        <v>4</v>
      </c>
      <c r="H171" s="53">
        <f t="shared" si="26"/>
        <v>46198</v>
      </c>
      <c r="I171" s="53">
        <f t="shared" si="27"/>
        <v>46204</v>
      </c>
      <c r="J171" s="54">
        <f t="shared" si="36"/>
        <v>4</v>
      </c>
      <c r="K171" s="102" t="s">
        <v>22</v>
      </c>
    </row>
    <row r="172" spans="1:11">
      <c r="A172" s="51" t="str" cm="1">
        <f t="array" ref="A172">INDEX('Sprint Calendar'!$A:$A, MATCH(1, ('Project Planning - C'!I172 &gt;= 'Sprint Calendar'!$B:$B) * ('Project Planning - C'!H172 &lt;= 'Sprint Calendar'!$C:$C), 0))</f>
        <v>Sprint 16</v>
      </c>
      <c r="B172" s="81" t="s">
        <v>84</v>
      </c>
      <c r="C172" s="77" t="s">
        <v>249</v>
      </c>
      <c r="D172" s="51" t="s">
        <v>278</v>
      </c>
      <c r="E172" s="51" t="s">
        <v>254</v>
      </c>
      <c r="F172" s="51" t="s">
        <v>86</v>
      </c>
      <c r="G172" s="52">
        <v>1</v>
      </c>
      <c r="H172" s="53">
        <f t="shared" si="26"/>
        <v>46205</v>
      </c>
      <c r="I172" s="53">
        <f t="shared" si="27"/>
        <v>46206</v>
      </c>
      <c r="J172" s="54">
        <f t="shared" si="36"/>
        <v>1</v>
      </c>
      <c r="K172" s="102" t="s">
        <v>22</v>
      </c>
    </row>
    <row r="173" spans="1:11" ht="13.5">
      <c r="A173" s="51" t="str" cm="1">
        <f t="array" ref="A173">INDEX('Sprint Calendar'!$A:$A, MATCH(1, ('Project Planning - C'!I173 &gt;= 'Sprint Calendar'!$B:$B) * ('Project Planning - C'!H173 &lt;= 'Sprint Calendar'!$C:$C), 0))</f>
        <v>Sprint 17</v>
      </c>
      <c r="B173" s="81" t="s">
        <v>84</v>
      </c>
      <c r="C173" s="77" t="s">
        <v>255</v>
      </c>
      <c r="D173" s="51" t="s">
        <v>46</v>
      </c>
      <c r="E173" s="77" t="s">
        <v>256</v>
      </c>
      <c r="F173" s="51" t="s">
        <v>86</v>
      </c>
      <c r="G173" s="52">
        <v>1</v>
      </c>
      <c r="H173" s="53">
        <f t="shared" ref="H173:H176" si="37">WORKDAY(I172,1)</f>
        <v>46209</v>
      </c>
      <c r="I173" s="53">
        <f t="shared" ref="I173:I176" si="38">WORKDAY(H173,J173)</f>
        <v>46210</v>
      </c>
      <c r="J173" s="54">
        <f t="shared" si="36"/>
        <v>1</v>
      </c>
      <c r="K173" s="102" t="s">
        <v>22</v>
      </c>
    </row>
    <row r="174" spans="1:11" ht="13.5">
      <c r="A174" s="51" t="str" cm="1">
        <f t="array" ref="A174">INDEX('Sprint Calendar'!$A:$A, MATCH(1, ('Project Planning - C'!I174 &gt;= 'Sprint Calendar'!$B:$B) * ('Project Planning - C'!H174 &lt;= 'Sprint Calendar'!$C:$C), 0))</f>
        <v>Sprint 17</v>
      </c>
      <c r="B174" s="81" t="s">
        <v>84</v>
      </c>
      <c r="C174" s="77" t="s">
        <v>255</v>
      </c>
      <c r="D174" s="51" t="s">
        <v>46</v>
      </c>
      <c r="E174" s="77" t="s">
        <v>257</v>
      </c>
      <c r="F174" s="51" t="s">
        <v>86</v>
      </c>
      <c r="G174" s="52">
        <v>1</v>
      </c>
      <c r="H174" s="53">
        <f t="shared" si="37"/>
        <v>46211</v>
      </c>
      <c r="I174" s="53">
        <f t="shared" si="38"/>
        <v>46212</v>
      </c>
      <c r="J174" s="54">
        <f t="shared" si="36"/>
        <v>1</v>
      </c>
      <c r="K174" s="102" t="s">
        <v>22</v>
      </c>
    </row>
    <row r="175" spans="1:11" ht="13.5">
      <c r="A175" s="51" t="str" cm="1">
        <f t="array" ref="A175">INDEX('Sprint Calendar'!$A:$A, MATCH(1, ('Project Planning - C'!I175 &gt;= 'Sprint Calendar'!$B:$B) * ('Project Planning - C'!H175 &lt;= 'Sprint Calendar'!$C:$C), 0))</f>
        <v>Sprint 17</v>
      </c>
      <c r="B175" s="81" t="s">
        <v>84</v>
      </c>
      <c r="C175" s="77" t="s">
        <v>255</v>
      </c>
      <c r="D175" s="51" t="s">
        <v>50</v>
      </c>
      <c r="E175" s="77" t="s">
        <v>258</v>
      </c>
      <c r="F175" s="51" t="s">
        <v>86</v>
      </c>
      <c r="G175" s="52">
        <v>3</v>
      </c>
      <c r="H175" s="53">
        <f t="shared" si="37"/>
        <v>46213</v>
      </c>
      <c r="I175" s="53">
        <f t="shared" si="38"/>
        <v>46218</v>
      </c>
      <c r="J175" s="54">
        <f t="shared" si="36"/>
        <v>3</v>
      </c>
      <c r="K175" s="102" t="s">
        <v>22</v>
      </c>
    </row>
    <row r="176" spans="1:11" ht="13.5">
      <c r="A176" s="51" t="str" cm="1">
        <f t="array" ref="A176">INDEX('Sprint Calendar'!$A:$A, MATCH(1, ('Project Planning - C'!I176 &gt;= 'Sprint Calendar'!$B:$B) * ('Project Planning - C'!H176 &lt;= 'Sprint Calendar'!$C:$C), 0))</f>
        <v>Sprint 17</v>
      </c>
      <c r="B176" s="81" t="s">
        <v>84</v>
      </c>
      <c r="C176" s="77" t="s">
        <v>255</v>
      </c>
      <c r="D176" s="51" t="s">
        <v>278</v>
      </c>
      <c r="E176" s="77" t="s">
        <v>259</v>
      </c>
      <c r="F176" s="51" t="s">
        <v>86</v>
      </c>
      <c r="G176" s="52">
        <v>1</v>
      </c>
      <c r="H176" s="53">
        <f t="shared" si="37"/>
        <v>46219</v>
      </c>
      <c r="I176" s="53">
        <f t="shared" si="38"/>
        <v>46220</v>
      </c>
      <c r="J176" s="54">
        <f t="shared" si="36"/>
        <v>1</v>
      </c>
      <c r="K176" s="102" t="s">
        <v>22</v>
      </c>
    </row>
    <row r="177" spans="1:11">
      <c r="A177" s="51" t="str" cm="1">
        <f t="array" ref="A177">INDEX('Sprint Calendar'!$A:$A, MATCH(1, ('Project Planning - C'!I177 &gt;= 'Sprint Calendar'!$B:$B) * ('Project Planning - C'!H177 &lt;= 'Sprint Calendar'!$C:$C), 0))</f>
        <v>Sprint 22</v>
      </c>
      <c r="B177" s="81" t="s">
        <v>84</v>
      </c>
      <c r="C177" s="77" t="s">
        <v>260</v>
      </c>
      <c r="D177" s="51" t="s">
        <v>46</v>
      </c>
      <c r="E177" s="77" t="s">
        <v>261</v>
      </c>
      <c r="F177" s="51" t="s">
        <v>18</v>
      </c>
      <c r="G177" s="52">
        <v>1</v>
      </c>
      <c r="H177" s="53">
        <f>WORKDAY(I142,1)</f>
        <v>46289</v>
      </c>
      <c r="I177" s="53">
        <f>WORKDAY(H177,J177)</f>
        <v>46290</v>
      </c>
      <c r="J177" s="54">
        <f>G177/$N$5</f>
        <v>1</v>
      </c>
      <c r="K177" s="102" t="s">
        <v>22</v>
      </c>
    </row>
    <row r="178" spans="1:11">
      <c r="A178" s="51" t="str" cm="1">
        <f t="array" ref="A178">INDEX('Sprint Calendar'!$A:$A, MATCH(1, ('Project Planning - C'!I178 &gt;= 'Sprint Calendar'!$B:$B) * ('Project Planning - C'!H178 &lt;= 'Sprint Calendar'!$C:$C), 0))</f>
        <v>Sprint 23</v>
      </c>
      <c r="B178" s="81" t="s">
        <v>84</v>
      </c>
      <c r="C178" s="77" t="s">
        <v>260</v>
      </c>
      <c r="D178" s="51" t="s">
        <v>46</v>
      </c>
      <c r="E178" s="77" t="s">
        <v>263</v>
      </c>
      <c r="F178" s="51" t="s">
        <v>18</v>
      </c>
      <c r="G178" s="52">
        <v>1</v>
      </c>
      <c r="H178" s="53">
        <f t="shared" ref="H178:H184" si="39">WORKDAY(I177,1)</f>
        <v>46293</v>
      </c>
      <c r="I178" s="53">
        <f t="shared" ref="I178:I182" si="40">WORKDAY(H178,J178)</f>
        <v>46294</v>
      </c>
      <c r="J178" s="54">
        <f>G178/$N$5</f>
        <v>1</v>
      </c>
      <c r="K178" s="102" t="s">
        <v>22</v>
      </c>
    </row>
    <row r="179" spans="1:11">
      <c r="A179" s="51" t="str" cm="1">
        <f t="array" ref="A179">INDEX('Sprint Calendar'!$A:$A, MATCH(1, ('Project Planning - C'!I179 &gt;= 'Sprint Calendar'!$B:$B) * ('Project Planning - C'!H179 &lt;= 'Sprint Calendar'!$C:$C), 0))</f>
        <v>Sprint 23</v>
      </c>
      <c r="B179" s="81" t="s">
        <v>84</v>
      </c>
      <c r="C179" s="77" t="s">
        <v>260</v>
      </c>
      <c r="D179" s="51" t="s">
        <v>50</v>
      </c>
      <c r="E179" s="77" t="s">
        <v>264</v>
      </c>
      <c r="F179" s="51" t="s">
        <v>18</v>
      </c>
      <c r="G179" s="52">
        <v>3</v>
      </c>
      <c r="H179" s="53">
        <f t="shared" si="39"/>
        <v>46295</v>
      </c>
      <c r="I179" s="53">
        <f>WORKDAY(H179,J179)</f>
        <v>46300</v>
      </c>
      <c r="J179" s="54">
        <f>G179/$N$5</f>
        <v>3</v>
      </c>
      <c r="K179" s="102" t="s">
        <v>22</v>
      </c>
    </row>
    <row r="180" spans="1:11">
      <c r="A180" s="51" t="str" cm="1">
        <f t="array" ref="A180">INDEX('Sprint Calendar'!$A:$A, MATCH(1, ('Project Planning - C'!I180 &gt;= 'Sprint Calendar'!$B:$B) * ('Project Planning - C'!H180 &lt;= 'Sprint Calendar'!$C:$C), 0))</f>
        <v>Sprint 23</v>
      </c>
      <c r="B180" s="81" t="s">
        <v>84</v>
      </c>
      <c r="C180" s="77" t="s">
        <v>260</v>
      </c>
      <c r="D180" s="51" t="s">
        <v>278</v>
      </c>
      <c r="E180" s="77" t="s">
        <v>265</v>
      </c>
      <c r="F180" s="51" t="s">
        <v>18</v>
      </c>
      <c r="G180" s="52">
        <v>1</v>
      </c>
      <c r="H180" s="53">
        <f t="shared" si="39"/>
        <v>46301</v>
      </c>
      <c r="I180" s="53">
        <f t="shared" si="40"/>
        <v>46302</v>
      </c>
      <c r="J180" s="54">
        <f t="shared" ref="J180:J184" si="41">G180/$N$5</f>
        <v>1</v>
      </c>
      <c r="K180" s="102" t="s">
        <v>22</v>
      </c>
    </row>
    <row r="181" spans="1:11">
      <c r="A181" s="51" t="str" cm="1">
        <f t="array" ref="A181">INDEX('Sprint Calendar'!$A:$A, MATCH(1, ('Project Planning - C'!I181 &gt;= 'Sprint Calendar'!$B:$B) * ('Project Planning - C'!H181 &lt;= 'Sprint Calendar'!$C:$C), 0))</f>
        <v>Sprint 23</v>
      </c>
      <c r="B181" s="81" t="s">
        <v>84</v>
      </c>
      <c r="C181" s="77" t="s">
        <v>266</v>
      </c>
      <c r="D181" s="51" t="s">
        <v>46</v>
      </c>
      <c r="E181" s="77" t="s">
        <v>267</v>
      </c>
      <c r="F181" s="51" t="s">
        <v>18</v>
      </c>
      <c r="G181" s="52">
        <v>1</v>
      </c>
      <c r="H181" s="53">
        <f t="shared" si="39"/>
        <v>46303</v>
      </c>
      <c r="I181" s="53">
        <f t="shared" si="40"/>
        <v>46304</v>
      </c>
      <c r="J181" s="54">
        <f t="shared" si="41"/>
        <v>1</v>
      </c>
      <c r="K181" s="102" t="s">
        <v>22</v>
      </c>
    </row>
    <row r="182" spans="1:11">
      <c r="A182" s="51" t="str" cm="1">
        <f t="array" ref="A182">INDEX('Sprint Calendar'!$A:$A, MATCH(1, ('Project Planning - C'!I182 &gt;= 'Sprint Calendar'!$B:$B) * ('Project Planning - C'!H182 &lt;= 'Sprint Calendar'!$C:$C), 0))</f>
        <v>Sprint 24</v>
      </c>
      <c r="B182" s="81" t="s">
        <v>84</v>
      </c>
      <c r="C182" s="77" t="s">
        <v>266</v>
      </c>
      <c r="D182" s="51" t="s">
        <v>46</v>
      </c>
      <c r="E182" s="77" t="s">
        <v>269</v>
      </c>
      <c r="F182" s="51" t="s">
        <v>18</v>
      </c>
      <c r="G182" s="52">
        <v>1</v>
      </c>
      <c r="H182" s="53">
        <f t="shared" si="39"/>
        <v>46307</v>
      </c>
      <c r="I182" s="53">
        <f t="shared" si="40"/>
        <v>46308</v>
      </c>
      <c r="J182" s="54">
        <f>G182/$N$5</f>
        <v>1</v>
      </c>
      <c r="K182" s="102" t="s">
        <v>22</v>
      </c>
    </row>
    <row r="183" spans="1:11">
      <c r="A183" s="51" t="str" cm="1">
        <f t="array" ref="A183">INDEX('Sprint Calendar'!$A:$A, MATCH(1, ('Project Planning - C'!I183 &gt;= 'Sprint Calendar'!$B:$B) * ('Project Planning - C'!H183 &lt;= 'Sprint Calendar'!$C:$C), 0))</f>
        <v>Sprint 24</v>
      </c>
      <c r="B183" s="81" t="s">
        <v>84</v>
      </c>
      <c r="C183" s="77" t="s">
        <v>266</v>
      </c>
      <c r="D183" s="51" t="s">
        <v>50</v>
      </c>
      <c r="E183" s="77" t="s">
        <v>270</v>
      </c>
      <c r="F183" s="51" t="s">
        <v>18</v>
      </c>
      <c r="G183" s="52">
        <v>3</v>
      </c>
      <c r="H183" s="53">
        <f t="shared" si="39"/>
        <v>46309</v>
      </c>
      <c r="I183" s="53">
        <f>WORKDAY(H183,J183)</f>
        <v>46314</v>
      </c>
      <c r="J183" s="54">
        <f t="shared" si="41"/>
        <v>3</v>
      </c>
      <c r="K183" s="102" t="s">
        <v>22</v>
      </c>
    </row>
    <row r="184" spans="1:11">
      <c r="A184" s="82" t="str" cm="1">
        <f t="array" ref="A184">INDEX('Sprint Calendar'!$A:$A, MATCH(1, ('Project Planning - C'!I184 &gt;= 'Sprint Calendar'!$B:$B) * ('Project Planning - C'!H184 &lt;= 'Sprint Calendar'!$C:$C), 0))</f>
        <v>Sprint 24</v>
      </c>
      <c r="B184" s="83" t="s">
        <v>84</v>
      </c>
      <c r="C184" s="88" t="s">
        <v>266</v>
      </c>
      <c r="D184" s="82" t="s">
        <v>278</v>
      </c>
      <c r="E184" s="88" t="s">
        <v>271</v>
      </c>
      <c r="F184" s="82" t="s">
        <v>18</v>
      </c>
      <c r="G184" s="84">
        <v>1</v>
      </c>
      <c r="H184" s="85">
        <f t="shared" si="39"/>
        <v>46315</v>
      </c>
      <c r="I184" s="85">
        <f>WORKDAY(H184,J184)</f>
        <v>46316</v>
      </c>
      <c r="J184" s="86">
        <f t="shared" si="41"/>
        <v>1</v>
      </c>
      <c r="K184" s="87" t="s">
        <v>22</v>
      </c>
    </row>
    <row r="185" spans="1:11" hidden="1">
      <c r="A185" s="51" t="str" cm="1">
        <f t="array" ref="A185">INDEX('Sprint Calendar'!$A:$A, MATCH(1, ('Project Planning - C'!I185 &gt;= 'Sprint Calendar'!$B:$B) * ('Project Planning - C'!H185 &lt;= 'Sprint Calendar'!$C:$C), 0))</f>
        <v>Sprint 24</v>
      </c>
      <c r="B185" s="49" t="s">
        <v>274</v>
      </c>
      <c r="C185" s="77" t="s">
        <v>282</v>
      </c>
      <c r="D185" s="51" t="s">
        <v>46</v>
      </c>
      <c r="E185" s="51" t="s">
        <v>283</v>
      </c>
      <c r="F185" s="51" t="s">
        <v>18</v>
      </c>
      <c r="G185" s="52">
        <v>0.5</v>
      </c>
      <c r="H185" s="53">
        <f t="shared" ref="H185:H214" si="42">WORKDAY(I184,1)</f>
        <v>46317</v>
      </c>
      <c r="I185" s="53">
        <f t="shared" ref="I185:I214" si="43">WORKDAY(H185,J185)</f>
        <v>46317</v>
      </c>
      <c r="J185" s="54">
        <f t="shared" ref="J185:J205" si="44">G185/$N$5</f>
        <v>0.5</v>
      </c>
      <c r="K185" s="102" t="s">
        <v>22</v>
      </c>
    </row>
    <row r="186" spans="1:11" hidden="1">
      <c r="A186" s="51" t="str" cm="1">
        <f t="array" ref="A186">INDEX('Sprint Calendar'!$A:$A, MATCH(1, ('Project Planning - C'!I186 &gt;= 'Sprint Calendar'!$B:$B) * ('Project Planning - C'!H186 &lt;= 'Sprint Calendar'!$C:$C), 0))</f>
        <v>Sprint 24</v>
      </c>
      <c r="B186" s="49" t="s">
        <v>274</v>
      </c>
      <c r="C186" s="77" t="s">
        <v>282</v>
      </c>
      <c r="D186" s="51" t="s">
        <v>46</v>
      </c>
      <c r="E186" s="51" t="s">
        <v>284</v>
      </c>
      <c r="F186" s="51" t="s">
        <v>18</v>
      </c>
      <c r="G186" s="52">
        <v>0.5</v>
      </c>
      <c r="H186" s="53">
        <f t="shared" si="42"/>
        <v>46318</v>
      </c>
      <c r="I186" s="53">
        <f t="shared" si="43"/>
        <v>46318</v>
      </c>
      <c r="J186" s="54">
        <f t="shared" si="44"/>
        <v>0.5</v>
      </c>
      <c r="K186" s="102" t="s">
        <v>22</v>
      </c>
    </row>
    <row r="187" spans="1:11" hidden="1">
      <c r="A187" s="51" t="str" cm="1">
        <f t="array" ref="A187">INDEX('Sprint Calendar'!$A:$A, MATCH(1, ('Project Planning - C'!I187 &gt;= 'Sprint Calendar'!$B:$B) * ('Project Planning - C'!H187 &lt;= 'Sprint Calendar'!$C:$C), 0))</f>
        <v>Sprint 25</v>
      </c>
      <c r="B187" s="49" t="s">
        <v>274</v>
      </c>
      <c r="C187" s="77" t="s">
        <v>282</v>
      </c>
      <c r="D187" s="51" t="s">
        <v>50</v>
      </c>
      <c r="E187" s="51" t="s">
        <v>286</v>
      </c>
      <c r="F187" s="51" t="s">
        <v>18</v>
      </c>
      <c r="G187" s="52">
        <v>3</v>
      </c>
      <c r="H187" s="53">
        <f t="shared" si="42"/>
        <v>46321</v>
      </c>
      <c r="I187" s="53">
        <f t="shared" si="43"/>
        <v>46324</v>
      </c>
      <c r="J187" s="54">
        <f t="shared" si="44"/>
        <v>3</v>
      </c>
      <c r="K187" s="102" t="s">
        <v>22</v>
      </c>
    </row>
    <row r="188" spans="1:11" hidden="1">
      <c r="A188" s="51" t="str" cm="1">
        <f t="array" ref="A188">INDEX('Sprint Calendar'!$A:$A, MATCH(1, ('Project Planning - C'!I188 &gt;= 'Sprint Calendar'!$B:$B) * ('Project Planning - C'!H188 &lt;= 'Sprint Calendar'!$C:$C), 0))</f>
        <v>Sprint 25</v>
      </c>
      <c r="B188" s="49" t="s">
        <v>274</v>
      </c>
      <c r="C188" s="77" t="s">
        <v>282</v>
      </c>
      <c r="D188" s="51" t="s">
        <v>50</v>
      </c>
      <c r="E188" s="51" t="s">
        <v>287</v>
      </c>
      <c r="F188" s="51" t="s">
        <v>18</v>
      </c>
      <c r="G188" s="52">
        <v>4</v>
      </c>
      <c r="H188" s="53">
        <f t="shared" si="42"/>
        <v>46325</v>
      </c>
      <c r="I188" s="53">
        <f t="shared" si="43"/>
        <v>46331</v>
      </c>
      <c r="J188" s="54">
        <f t="shared" si="44"/>
        <v>4</v>
      </c>
      <c r="K188" s="102" t="s">
        <v>22</v>
      </c>
    </row>
    <row r="189" spans="1:11" hidden="1">
      <c r="A189" s="51" t="str" cm="1">
        <f t="array" ref="A189">INDEX('Sprint Calendar'!$A:$A, MATCH(1, ('Project Planning - C'!I189 &gt;= 'Sprint Calendar'!$B:$B) * ('Project Planning - C'!H189 &lt;= 'Sprint Calendar'!$C:$C), 0))</f>
        <v>Sprint 25</v>
      </c>
      <c r="B189" s="49" t="s">
        <v>274</v>
      </c>
      <c r="C189" s="77" t="s">
        <v>282</v>
      </c>
      <c r="D189" s="51" t="s">
        <v>278</v>
      </c>
      <c r="E189" s="51" t="s">
        <v>288</v>
      </c>
      <c r="F189" s="51" t="s">
        <v>18</v>
      </c>
      <c r="G189" s="52">
        <v>2</v>
      </c>
      <c r="H189" s="53">
        <f t="shared" si="42"/>
        <v>46332</v>
      </c>
      <c r="I189" s="53">
        <f t="shared" si="43"/>
        <v>46336</v>
      </c>
      <c r="J189" s="54">
        <f t="shared" si="44"/>
        <v>2</v>
      </c>
      <c r="K189" s="102" t="s">
        <v>22</v>
      </c>
    </row>
    <row r="190" spans="1:11" hidden="1">
      <c r="A190" s="51" t="str" cm="1">
        <f t="array" ref="A190">INDEX('Sprint Calendar'!$A:$A, MATCH(1, ('Project Planning - C'!I190 &gt;= 'Sprint Calendar'!$B:$B) * ('Project Planning - C'!H190 &lt;= 'Sprint Calendar'!$C:$C), 0))</f>
        <v>Sprint 26</v>
      </c>
      <c r="B190" s="49" t="s">
        <v>274</v>
      </c>
      <c r="C190" s="77" t="s">
        <v>290</v>
      </c>
      <c r="D190" s="51" t="s">
        <v>46</v>
      </c>
      <c r="E190" s="51" t="s">
        <v>291</v>
      </c>
      <c r="F190" s="51" t="s">
        <v>18</v>
      </c>
      <c r="G190" s="52">
        <v>0.5</v>
      </c>
      <c r="H190" s="53">
        <f t="shared" si="42"/>
        <v>46337</v>
      </c>
      <c r="I190" s="53">
        <f t="shared" si="43"/>
        <v>46337</v>
      </c>
      <c r="J190" s="54">
        <f t="shared" si="44"/>
        <v>0.5</v>
      </c>
      <c r="K190" s="102" t="s">
        <v>22</v>
      </c>
    </row>
    <row r="191" spans="1:11" hidden="1">
      <c r="A191" s="51" t="str" cm="1">
        <f t="array" ref="A191">INDEX('Sprint Calendar'!$A:$A, MATCH(1, ('Project Planning - C'!I191 &gt;= 'Sprint Calendar'!$B:$B) * ('Project Planning - C'!H191 &lt;= 'Sprint Calendar'!$C:$C), 0))</f>
        <v>Sprint 26</v>
      </c>
      <c r="B191" s="49" t="s">
        <v>274</v>
      </c>
      <c r="C191" s="77" t="s">
        <v>290</v>
      </c>
      <c r="D191" s="51" t="s">
        <v>46</v>
      </c>
      <c r="E191" s="51" t="s">
        <v>292</v>
      </c>
      <c r="F191" s="51" t="s">
        <v>18</v>
      </c>
      <c r="G191" s="52">
        <v>0.5</v>
      </c>
      <c r="H191" s="53">
        <f t="shared" si="42"/>
        <v>46338</v>
      </c>
      <c r="I191" s="53">
        <f t="shared" si="43"/>
        <v>46338</v>
      </c>
      <c r="J191" s="54">
        <f t="shared" si="44"/>
        <v>0.5</v>
      </c>
      <c r="K191" s="102" t="s">
        <v>22</v>
      </c>
    </row>
    <row r="192" spans="1:11" hidden="1">
      <c r="A192" s="51" t="str" cm="1">
        <f t="array" ref="A192">INDEX('Sprint Calendar'!$A:$A, MATCH(1, ('Project Planning - C'!I192 &gt;= 'Sprint Calendar'!$B:$B) * ('Project Planning - C'!H192 &lt;= 'Sprint Calendar'!$C:$C), 0))</f>
        <v>Sprint 26</v>
      </c>
      <c r="B192" s="49" t="s">
        <v>274</v>
      </c>
      <c r="C192" s="77" t="s">
        <v>290</v>
      </c>
      <c r="D192" s="51" t="s">
        <v>50</v>
      </c>
      <c r="E192" s="51" t="s">
        <v>293</v>
      </c>
      <c r="F192" s="51" t="s">
        <v>18</v>
      </c>
      <c r="G192" s="52">
        <v>1</v>
      </c>
      <c r="H192" s="53">
        <f t="shared" si="42"/>
        <v>46339</v>
      </c>
      <c r="I192" s="53">
        <f t="shared" si="43"/>
        <v>46342</v>
      </c>
      <c r="J192" s="54">
        <f t="shared" si="44"/>
        <v>1</v>
      </c>
      <c r="K192" s="102" t="s">
        <v>22</v>
      </c>
    </row>
    <row r="193" spans="1:11" hidden="1">
      <c r="A193" s="51" t="str" cm="1">
        <f t="array" ref="A193">INDEX('Sprint Calendar'!$A:$A, MATCH(1, ('Project Planning - C'!I193 &gt;= 'Sprint Calendar'!$B:$B) * ('Project Planning - C'!H193 &lt;= 'Sprint Calendar'!$C:$C), 0))</f>
        <v>Sprint 26</v>
      </c>
      <c r="B193" s="49" t="s">
        <v>274</v>
      </c>
      <c r="C193" s="77" t="s">
        <v>290</v>
      </c>
      <c r="D193" s="51" t="s">
        <v>50</v>
      </c>
      <c r="E193" s="51" t="s">
        <v>294</v>
      </c>
      <c r="F193" s="51" t="s">
        <v>18</v>
      </c>
      <c r="G193" s="52">
        <v>3</v>
      </c>
      <c r="H193" s="53">
        <f t="shared" si="42"/>
        <v>46343</v>
      </c>
      <c r="I193" s="53">
        <f t="shared" si="43"/>
        <v>46346</v>
      </c>
      <c r="J193" s="54">
        <f t="shared" si="44"/>
        <v>3</v>
      </c>
      <c r="K193" s="102" t="s">
        <v>22</v>
      </c>
    </row>
    <row r="194" spans="1:11" hidden="1">
      <c r="A194" s="51" t="str" cm="1">
        <f t="array" ref="A194">INDEX('Sprint Calendar'!$A:$A, MATCH(1, ('Project Planning - C'!I194 &gt;= 'Sprint Calendar'!$B:$B) * ('Project Planning - C'!H194 &lt;= 'Sprint Calendar'!$C:$C), 0))</f>
        <v>Sprint 27</v>
      </c>
      <c r="B194" s="49" t="s">
        <v>274</v>
      </c>
      <c r="C194" s="77" t="s">
        <v>290</v>
      </c>
      <c r="D194" s="51" t="s">
        <v>278</v>
      </c>
      <c r="E194" s="51" t="s">
        <v>296</v>
      </c>
      <c r="F194" s="51" t="s">
        <v>18</v>
      </c>
      <c r="G194" s="52">
        <v>1</v>
      </c>
      <c r="H194" s="53">
        <f t="shared" si="42"/>
        <v>46349</v>
      </c>
      <c r="I194" s="53">
        <f t="shared" si="43"/>
        <v>46350</v>
      </c>
      <c r="J194" s="54">
        <f t="shared" si="44"/>
        <v>1</v>
      </c>
      <c r="K194" s="102" t="s">
        <v>22</v>
      </c>
    </row>
    <row r="195" spans="1:11" hidden="1">
      <c r="A195" s="51" t="str" cm="1">
        <f t="array" ref="A195">INDEX('Sprint Calendar'!$A:$A, MATCH(1, ('Project Planning - C'!I195 &gt;= 'Sprint Calendar'!$B:$B) * ('Project Planning - C'!H195 &lt;= 'Sprint Calendar'!$C:$C), 0))</f>
        <v>Sprint 27</v>
      </c>
      <c r="B195" s="49" t="s">
        <v>274</v>
      </c>
      <c r="C195" s="77" t="s">
        <v>297</v>
      </c>
      <c r="D195" s="51" t="s">
        <v>46</v>
      </c>
      <c r="E195" s="51" t="s">
        <v>298</v>
      </c>
      <c r="F195" s="51" t="s">
        <v>18</v>
      </c>
      <c r="G195" s="52">
        <v>0.5</v>
      </c>
      <c r="H195" s="53">
        <f t="shared" si="42"/>
        <v>46351</v>
      </c>
      <c r="I195" s="53">
        <f t="shared" si="43"/>
        <v>46351</v>
      </c>
      <c r="J195" s="54">
        <f t="shared" si="44"/>
        <v>0.5</v>
      </c>
      <c r="K195" s="102" t="s">
        <v>22</v>
      </c>
    </row>
    <row r="196" spans="1:11" hidden="1">
      <c r="A196" s="51" t="str" cm="1">
        <f t="array" ref="A196">INDEX('Sprint Calendar'!$A:$A, MATCH(1, ('Project Planning - C'!I196 &gt;= 'Sprint Calendar'!$B:$B) * ('Project Planning - C'!H196 &lt;= 'Sprint Calendar'!$C:$C), 0))</f>
        <v>Sprint 27</v>
      </c>
      <c r="B196" s="49" t="s">
        <v>274</v>
      </c>
      <c r="C196" s="77" t="s">
        <v>297</v>
      </c>
      <c r="D196" s="51" t="s">
        <v>46</v>
      </c>
      <c r="E196" s="51" t="s">
        <v>299</v>
      </c>
      <c r="F196" s="51" t="s">
        <v>18</v>
      </c>
      <c r="G196" s="52">
        <v>0.5</v>
      </c>
      <c r="H196" s="53">
        <f t="shared" si="42"/>
        <v>46352</v>
      </c>
      <c r="I196" s="53">
        <f t="shared" si="43"/>
        <v>46352</v>
      </c>
      <c r="J196" s="54">
        <f t="shared" si="44"/>
        <v>0.5</v>
      </c>
      <c r="K196" s="102" t="s">
        <v>22</v>
      </c>
    </row>
    <row r="197" spans="1:11" hidden="1">
      <c r="A197" s="51" t="str" cm="1">
        <f t="array" ref="A197">INDEX('Sprint Calendar'!$A:$A, MATCH(1, ('Project Planning - C'!I197 &gt;= 'Sprint Calendar'!$B:$B) * ('Project Planning - C'!H197 &lt;= 'Sprint Calendar'!$C:$C), 0))</f>
        <v>Sprint 27</v>
      </c>
      <c r="B197" s="49" t="s">
        <v>274</v>
      </c>
      <c r="C197" s="77" t="s">
        <v>297</v>
      </c>
      <c r="D197" s="51" t="s">
        <v>50</v>
      </c>
      <c r="E197" s="51" t="s">
        <v>300</v>
      </c>
      <c r="F197" s="51" t="s">
        <v>18</v>
      </c>
      <c r="G197" s="52">
        <v>2</v>
      </c>
      <c r="H197" s="53">
        <f t="shared" si="42"/>
        <v>46353</v>
      </c>
      <c r="I197" s="53">
        <f t="shared" si="43"/>
        <v>46357</v>
      </c>
      <c r="J197" s="54">
        <f t="shared" si="44"/>
        <v>2</v>
      </c>
      <c r="K197" s="102" t="s">
        <v>22</v>
      </c>
    </row>
    <row r="198" spans="1:11" hidden="1">
      <c r="A198" s="51" t="str" cm="1">
        <f t="array" ref="A198">INDEX('Sprint Calendar'!$A:$A, MATCH(1, ('Project Planning - C'!I198 &gt;= 'Sprint Calendar'!$B:$B) * ('Project Planning - C'!H198 &lt;= 'Sprint Calendar'!$C:$C), 0))</f>
        <v>Sprint 27</v>
      </c>
      <c r="B198" s="49" t="s">
        <v>274</v>
      </c>
      <c r="C198" s="77" t="s">
        <v>297</v>
      </c>
      <c r="D198" s="51" t="s">
        <v>50</v>
      </c>
      <c r="E198" s="51" t="s">
        <v>301</v>
      </c>
      <c r="F198" s="51" t="s">
        <v>18</v>
      </c>
      <c r="G198" s="52">
        <v>2</v>
      </c>
      <c r="H198" s="53">
        <f t="shared" si="42"/>
        <v>46358</v>
      </c>
      <c r="I198" s="53">
        <f t="shared" si="43"/>
        <v>46360</v>
      </c>
      <c r="J198" s="54">
        <f t="shared" si="44"/>
        <v>2</v>
      </c>
      <c r="K198" s="102" t="s">
        <v>22</v>
      </c>
    </row>
    <row r="199" spans="1:11" hidden="1">
      <c r="A199" s="51" t="str" cm="1">
        <f t="array" ref="A199">INDEX('Sprint Calendar'!$A:$A, MATCH(1, ('Project Planning - C'!I199 &gt;= 'Sprint Calendar'!$B:$B) * ('Project Planning - C'!H199 &lt;= 'Sprint Calendar'!$C:$C), 0))</f>
        <v>Sprint 28</v>
      </c>
      <c r="B199" s="49" t="s">
        <v>274</v>
      </c>
      <c r="C199" s="77" t="s">
        <v>297</v>
      </c>
      <c r="D199" s="51" t="s">
        <v>278</v>
      </c>
      <c r="E199" s="51" t="s">
        <v>303</v>
      </c>
      <c r="F199" s="51" t="s">
        <v>18</v>
      </c>
      <c r="G199" s="52">
        <v>1</v>
      </c>
      <c r="H199" s="53">
        <f t="shared" si="42"/>
        <v>46363</v>
      </c>
      <c r="I199" s="53">
        <f t="shared" si="43"/>
        <v>46364</v>
      </c>
      <c r="J199" s="54">
        <f t="shared" si="44"/>
        <v>1</v>
      </c>
      <c r="K199" s="102" t="s">
        <v>22</v>
      </c>
    </row>
    <row r="200" spans="1:11" hidden="1">
      <c r="A200" s="51" t="str" cm="1">
        <f t="array" ref="A200">INDEX('Sprint Calendar'!$A:$A, MATCH(1, ('Project Planning - C'!I200 &gt;= 'Sprint Calendar'!$B:$B) * ('Project Planning - C'!H200 &lt;= 'Sprint Calendar'!$C:$C), 0))</f>
        <v>Sprint 28</v>
      </c>
      <c r="B200" s="49" t="s">
        <v>274</v>
      </c>
      <c r="C200" s="77" t="s">
        <v>304</v>
      </c>
      <c r="D200" s="51" t="s">
        <v>46</v>
      </c>
      <c r="E200" s="51" t="s">
        <v>305</v>
      </c>
      <c r="F200" s="51" t="s">
        <v>18</v>
      </c>
      <c r="G200" s="52">
        <v>0.2</v>
      </c>
      <c r="H200" s="53">
        <f t="shared" si="42"/>
        <v>46365</v>
      </c>
      <c r="I200" s="53">
        <f t="shared" si="43"/>
        <v>46365</v>
      </c>
      <c r="J200" s="54">
        <f t="shared" si="44"/>
        <v>0.2</v>
      </c>
      <c r="K200" s="102" t="s">
        <v>22</v>
      </c>
    </row>
    <row r="201" spans="1:11" hidden="1">
      <c r="A201" s="51" t="str" cm="1">
        <f t="array" ref="A201">INDEX('Sprint Calendar'!$A:$A, MATCH(1, ('Project Planning - C'!I201 &gt;= 'Sprint Calendar'!$B:$B) * ('Project Planning - C'!H201 &lt;= 'Sprint Calendar'!$C:$C), 0))</f>
        <v>Sprint 28</v>
      </c>
      <c r="B201" s="49" t="s">
        <v>274</v>
      </c>
      <c r="C201" s="77" t="s">
        <v>304</v>
      </c>
      <c r="D201" s="51" t="s">
        <v>46</v>
      </c>
      <c r="E201" s="51" t="s">
        <v>306</v>
      </c>
      <c r="F201" s="51" t="s">
        <v>18</v>
      </c>
      <c r="G201" s="52">
        <v>0.3</v>
      </c>
      <c r="H201" s="53">
        <f t="shared" si="42"/>
        <v>46366</v>
      </c>
      <c r="I201" s="53">
        <f t="shared" si="43"/>
        <v>46366</v>
      </c>
      <c r="J201" s="54">
        <f t="shared" si="44"/>
        <v>0.3</v>
      </c>
      <c r="K201" s="102" t="s">
        <v>22</v>
      </c>
    </row>
    <row r="202" spans="1:11" hidden="1">
      <c r="A202" s="51" t="str" cm="1">
        <f t="array" ref="A202">INDEX('Sprint Calendar'!$A:$A, MATCH(1, ('Project Planning - C'!I202 &gt;= 'Sprint Calendar'!$B:$B) * ('Project Planning - C'!H202 &lt;= 'Sprint Calendar'!$C:$C), 0))</f>
        <v>Sprint 28</v>
      </c>
      <c r="B202" s="49" t="s">
        <v>274</v>
      </c>
      <c r="C202" s="77" t="s">
        <v>304</v>
      </c>
      <c r="D202" s="51" t="s">
        <v>50</v>
      </c>
      <c r="E202" s="51" t="s">
        <v>307</v>
      </c>
      <c r="F202" s="51" t="s">
        <v>18</v>
      </c>
      <c r="G202" s="52">
        <v>0.2</v>
      </c>
      <c r="H202" s="53">
        <f t="shared" si="42"/>
        <v>46367</v>
      </c>
      <c r="I202" s="53">
        <f t="shared" si="43"/>
        <v>46367</v>
      </c>
      <c r="J202" s="54">
        <f t="shared" si="44"/>
        <v>0.2</v>
      </c>
      <c r="K202" s="102" t="s">
        <v>22</v>
      </c>
    </row>
    <row r="203" spans="1:11" hidden="1">
      <c r="A203" s="51" t="str" cm="1">
        <f t="array" ref="A203">INDEX('Sprint Calendar'!$A:$A, MATCH(1, ('Project Planning - C'!I203 &gt;= 'Sprint Calendar'!$B:$B) * ('Project Planning - C'!H203 &lt;= 'Sprint Calendar'!$C:$C), 0))</f>
        <v>Sprint 28</v>
      </c>
      <c r="B203" s="49" t="s">
        <v>274</v>
      </c>
      <c r="C203" s="77" t="s">
        <v>304</v>
      </c>
      <c r="D203" s="51" t="s">
        <v>50</v>
      </c>
      <c r="E203" s="51" t="s">
        <v>308</v>
      </c>
      <c r="F203" s="51" t="s">
        <v>18</v>
      </c>
      <c r="G203" s="52">
        <v>0.5</v>
      </c>
      <c r="H203" s="53">
        <f t="shared" si="42"/>
        <v>46370</v>
      </c>
      <c r="I203" s="53">
        <f t="shared" si="43"/>
        <v>46370</v>
      </c>
      <c r="J203" s="54">
        <f t="shared" si="44"/>
        <v>0.5</v>
      </c>
      <c r="K203" s="102" t="s">
        <v>22</v>
      </c>
    </row>
    <row r="204" spans="1:11" hidden="1">
      <c r="A204" s="51" t="str" cm="1">
        <f t="array" ref="A204">INDEX('Sprint Calendar'!$A:$A, MATCH(1, ('Project Planning - C'!I204 &gt;= 'Sprint Calendar'!$B:$B) * ('Project Planning - C'!H204 &lt;= 'Sprint Calendar'!$C:$C), 0))</f>
        <v>Sprint 28</v>
      </c>
      <c r="B204" s="49" t="s">
        <v>274</v>
      </c>
      <c r="C204" s="77" t="s">
        <v>304</v>
      </c>
      <c r="D204" s="51" t="s">
        <v>278</v>
      </c>
      <c r="E204" s="51" t="s">
        <v>309</v>
      </c>
      <c r="F204" s="51" t="s">
        <v>18</v>
      </c>
      <c r="G204" s="52">
        <v>0.3</v>
      </c>
      <c r="H204" s="53">
        <f t="shared" si="42"/>
        <v>46371</v>
      </c>
      <c r="I204" s="53">
        <f t="shared" si="43"/>
        <v>46371</v>
      </c>
      <c r="J204" s="54">
        <f t="shared" si="44"/>
        <v>0.3</v>
      </c>
      <c r="K204" s="102" t="s">
        <v>22</v>
      </c>
    </row>
    <row r="205" spans="1:11" hidden="1">
      <c r="A205" s="51" t="str" cm="1">
        <f t="array" ref="A205">INDEX('Sprint Calendar'!$A:$A, MATCH(1, ('Project Planning - C'!I205 &gt;= 'Sprint Calendar'!$B:$B) * ('Project Planning - C'!H205 &lt;= 'Sprint Calendar'!$C:$C), 0))</f>
        <v>Sprint 28</v>
      </c>
      <c r="B205" s="49" t="s">
        <v>274</v>
      </c>
      <c r="C205" s="77" t="s">
        <v>310</v>
      </c>
      <c r="D205" s="51" t="s">
        <v>46</v>
      </c>
      <c r="E205" s="51" t="s">
        <v>311</v>
      </c>
      <c r="F205" s="51" t="s">
        <v>18</v>
      </c>
      <c r="G205" s="52">
        <v>0.2</v>
      </c>
      <c r="H205" s="53">
        <f t="shared" si="42"/>
        <v>46372</v>
      </c>
      <c r="I205" s="53">
        <f t="shared" si="43"/>
        <v>46372</v>
      </c>
      <c r="J205" s="54">
        <f t="shared" si="44"/>
        <v>0.2</v>
      </c>
      <c r="K205" s="102" t="s">
        <v>22</v>
      </c>
    </row>
    <row r="206" spans="1:11" hidden="1">
      <c r="A206" s="51" t="str" cm="1">
        <f t="array" ref="A206">INDEX('Sprint Calendar'!$A:$A, MATCH(1, ('Project Planning - C'!I206 &gt;= 'Sprint Calendar'!$B:$B) * ('Project Planning - C'!H206 &lt;= 'Sprint Calendar'!$C:$C), 0))</f>
        <v>Sprint 28</v>
      </c>
      <c r="B206" s="49" t="s">
        <v>274</v>
      </c>
      <c r="C206" s="77" t="s">
        <v>310</v>
      </c>
      <c r="D206" s="51" t="s">
        <v>46</v>
      </c>
      <c r="E206" s="51" t="s">
        <v>312</v>
      </c>
      <c r="F206" s="51" t="s">
        <v>18</v>
      </c>
      <c r="G206" s="52">
        <v>0.3</v>
      </c>
      <c r="H206" s="53">
        <f t="shared" si="42"/>
        <v>46373</v>
      </c>
      <c r="I206" s="53">
        <f t="shared" si="43"/>
        <v>46373</v>
      </c>
      <c r="J206" s="54">
        <f t="shared" ref="J206:J214" si="45">G206/$N$5</f>
        <v>0.3</v>
      </c>
      <c r="K206" s="102" t="s">
        <v>22</v>
      </c>
    </row>
    <row r="207" spans="1:11" hidden="1">
      <c r="A207" s="51" t="str" cm="1">
        <f t="array" ref="A207">INDEX('Sprint Calendar'!$A:$A, MATCH(1, ('Project Planning - C'!I207 &gt;= 'Sprint Calendar'!$B:$B) * ('Project Planning - C'!H207 &lt;= 'Sprint Calendar'!$C:$C), 0))</f>
        <v>Sprint 28</v>
      </c>
      <c r="B207" s="49" t="s">
        <v>274</v>
      </c>
      <c r="C207" s="77" t="s">
        <v>310</v>
      </c>
      <c r="D207" s="51" t="s">
        <v>50</v>
      </c>
      <c r="E207" s="51" t="s">
        <v>313</v>
      </c>
      <c r="F207" s="51" t="s">
        <v>18</v>
      </c>
      <c r="G207" s="52">
        <v>0.2</v>
      </c>
      <c r="H207" s="53">
        <f t="shared" si="42"/>
        <v>46374</v>
      </c>
      <c r="I207" s="53">
        <f t="shared" si="43"/>
        <v>46374</v>
      </c>
      <c r="J207" s="54">
        <f t="shared" si="45"/>
        <v>0.2</v>
      </c>
      <c r="K207" s="102" t="s">
        <v>22</v>
      </c>
    </row>
    <row r="208" spans="1:11" hidden="1">
      <c r="A208" s="51" t="str" cm="1">
        <f t="array" ref="A208">INDEX('Sprint Calendar'!$A:$A, MATCH(1, ('Project Planning - C'!I208 &gt;= 'Sprint Calendar'!$B:$B) * ('Project Planning - C'!H208 &lt;= 'Sprint Calendar'!$C:$C), 0))</f>
        <v>Sprint 29</v>
      </c>
      <c r="B208" s="49" t="s">
        <v>274</v>
      </c>
      <c r="C208" s="77" t="s">
        <v>310</v>
      </c>
      <c r="D208" s="51" t="s">
        <v>50</v>
      </c>
      <c r="E208" s="51" t="s">
        <v>315</v>
      </c>
      <c r="F208" s="51" t="s">
        <v>18</v>
      </c>
      <c r="G208" s="52">
        <v>0.5</v>
      </c>
      <c r="H208" s="53">
        <f t="shared" si="42"/>
        <v>46377</v>
      </c>
      <c r="I208" s="53">
        <f t="shared" si="43"/>
        <v>46377</v>
      </c>
      <c r="J208" s="54">
        <f t="shared" si="45"/>
        <v>0.5</v>
      </c>
      <c r="K208" s="102" t="s">
        <v>22</v>
      </c>
    </row>
    <row r="209" spans="1:11" hidden="1">
      <c r="A209" s="51" t="str" cm="1">
        <f t="array" ref="A209">INDEX('Sprint Calendar'!$A:$A, MATCH(1, ('Project Planning - C'!I209 &gt;= 'Sprint Calendar'!$B:$B) * ('Project Planning - C'!H209 &lt;= 'Sprint Calendar'!$C:$C), 0))</f>
        <v>Sprint 29</v>
      </c>
      <c r="B209" s="49" t="s">
        <v>274</v>
      </c>
      <c r="C209" s="77" t="s">
        <v>310</v>
      </c>
      <c r="D209" s="51" t="s">
        <v>278</v>
      </c>
      <c r="E209" s="51" t="s">
        <v>316</v>
      </c>
      <c r="F209" s="51" t="s">
        <v>18</v>
      </c>
      <c r="G209" s="52">
        <v>0.3</v>
      </c>
      <c r="H209" s="53">
        <f t="shared" si="42"/>
        <v>46378</v>
      </c>
      <c r="I209" s="53">
        <f t="shared" si="43"/>
        <v>46378</v>
      </c>
      <c r="J209" s="54">
        <f t="shared" si="45"/>
        <v>0.3</v>
      </c>
      <c r="K209" s="102" t="s">
        <v>22</v>
      </c>
    </row>
    <row r="210" spans="1:11" hidden="1">
      <c r="A210" s="51" t="str" cm="1">
        <f t="array" ref="A210">INDEX('Sprint Calendar'!$A:$A, MATCH(1, ('Project Planning - C'!I210 &gt;= 'Sprint Calendar'!$B:$B) * ('Project Planning - C'!H210 &lt;= 'Sprint Calendar'!$C:$C), 0))</f>
        <v>Sprint 29</v>
      </c>
      <c r="B210" s="49" t="s">
        <v>274</v>
      </c>
      <c r="C210" s="77" t="s">
        <v>317</v>
      </c>
      <c r="D210" s="51" t="s">
        <v>46</v>
      </c>
      <c r="E210" s="51" t="s">
        <v>318</v>
      </c>
      <c r="F210" s="51" t="s">
        <v>18</v>
      </c>
      <c r="G210" s="52">
        <v>1</v>
      </c>
      <c r="H210" s="53">
        <f t="shared" si="42"/>
        <v>46379</v>
      </c>
      <c r="I210" s="53">
        <f t="shared" si="43"/>
        <v>46380</v>
      </c>
      <c r="J210" s="54">
        <f t="shared" si="45"/>
        <v>1</v>
      </c>
      <c r="K210" s="102" t="s">
        <v>22</v>
      </c>
    </row>
    <row r="211" spans="1:11" hidden="1">
      <c r="A211" s="51" t="str" cm="1">
        <f t="array" ref="A211">INDEX('Sprint Calendar'!$A:$A, MATCH(1, ('Project Planning - C'!I211 &gt;= 'Sprint Calendar'!$B:$B) * ('Project Planning - C'!H211 &lt;= 'Sprint Calendar'!$C:$C), 0))</f>
        <v>Sprint 29</v>
      </c>
      <c r="B211" s="49" t="s">
        <v>274</v>
      </c>
      <c r="C211" s="77" t="s">
        <v>317</v>
      </c>
      <c r="D211" s="51" t="s">
        <v>46</v>
      </c>
      <c r="E211" s="51" t="s">
        <v>319</v>
      </c>
      <c r="F211" s="51" t="s">
        <v>18</v>
      </c>
      <c r="G211" s="52">
        <v>1</v>
      </c>
      <c r="H211" s="53">
        <f t="shared" si="42"/>
        <v>46381</v>
      </c>
      <c r="I211" s="53">
        <f t="shared" si="43"/>
        <v>46384</v>
      </c>
      <c r="J211" s="54">
        <f t="shared" si="45"/>
        <v>1</v>
      </c>
      <c r="K211" s="102" t="s">
        <v>22</v>
      </c>
    </row>
    <row r="212" spans="1:11" hidden="1">
      <c r="A212" s="51" t="str" cm="1">
        <f t="array" ref="A212">INDEX('Sprint Calendar'!$A:$A, MATCH(1, ('Project Planning - C'!I212 &gt;= 'Sprint Calendar'!$B:$B) * ('Project Planning - C'!H212 &lt;= 'Sprint Calendar'!$C:$C), 0))</f>
        <v>Sprint 29</v>
      </c>
      <c r="B212" s="49" t="s">
        <v>274</v>
      </c>
      <c r="C212" s="77" t="s">
        <v>317</v>
      </c>
      <c r="D212" s="51" t="s">
        <v>50</v>
      </c>
      <c r="E212" s="51" t="s">
        <v>320</v>
      </c>
      <c r="F212" s="51" t="s">
        <v>18</v>
      </c>
      <c r="G212" s="52">
        <v>1.5</v>
      </c>
      <c r="H212" s="53">
        <f t="shared" si="42"/>
        <v>46385</v>
      </c>
      <c r="I212" s="53">
        <f t="shared" si="43"/>
        <v>46386</v>
      </c>
      <c r="J212" s="54">
        <f t="shared" si="45"/>
        <v>1.5</v>
      </c>
      <c r="K212" s="102" t="s">
        <v>22</v>
      </c>
    </row>
    <row r="213" spans="1:11" hidden="1">
      <c r="A213" s="51" t="str" cm="1">
        <f t="array" ref="A213">INDEX('Sprint Calendar'!$A:$A, MATCH(1, ('Project Planning - C'!I213 &gt;= 'Sprint Calendar'!$B:$B) * ('Project Planning - C'!H213 &lt;= 'Sprint Calendar'!$C:$C), 0))</f>
        <v>Sprint 29</v>
      </c>
      <c r="B213" s="49" t="s">
        <v>274</v>
      </c>
      <c r="C213" s="77" t="s">
        <v>317</v>
      </c>
      <c r="D213" s="51" t="s">
        <v>50</v>
      </c>
      <c r="E213" s="51" t="s">
        <v>321</v>
      </c>
      <c r="F213" s="51" t="s">
        <v>18</v>
      </c>
      <c r="G213" s="52">
        <v>2.5</v>
      </c>
      <c r="H213" s="53">
        <f t="shared" si="42"/>
        <v>46387</v>
      </c>
      <c r="I213" s="53">
        <f t="shared" si="43"/>
        <v>46391</v>
      </c>
      <c r="J213" s="54">
        <f t="shared" si="45"/>
        <v>2.5</v>
      </c>
      <c r="K213" s="102" t="s">
        <v>22</v>
      </c>
    </row>
    <row r="214" spans="1:11" hidden="1">
      <c r="A214" s="82" t="str" cm="1">
        <f t="array" ref="A214">INDEX('Sprint Calendar'!$A:$A, MATCH(1, ('Project Planning - C'!I214 &gt;= 'Sprint Calendar'!$B:$B) * ('Project Planning - C'!H214 &lt;= 'Sprint Calendar'!$C:$C), 0))</f>
        <v>Sprint 30</v>
      </c>
      <c r="B214" s="97" t="s">
        <v>274</v>
      </c>
      <c r="C214" s="88" t="s">
        <v>317</v>
      </c>
      <c r="D214" s="82" t="s">
        <v>278</v>
      </c>
      <c r="E214" s="82" t="s">
        <v>322</v>
      </c>
      <c r="F214" s="82" t="s">
        <v>18</v>
      </c>
      <c r="G214" s="84">
        <v>1</v>
      </c>
      <c r="H214" s="85">
        <f t="shared" si="42"/>
        <v>46392</v>
      </c>
      <c r="I214" s="85">
        <f t="shared" si="43"/>
        <v>46393</v>
      </c>
      <c r="J214" s="86">
        <f t="shared" si="45"/>
        <v>1</v>
      </c>
      <c r="K214" s="87" t="s">
        <v>22</v>
      </c>
    </row>
    <row r="215" spans="1:11">
      <c r="G215" s="52"/>
    </row>
    <row r="216" spans="1:11">
      <c r="G216" s="52"/>
    </row>
    <row r="217" spans="1:11">
      <c r="G217" s="52"/>
    </row>
    <row r="218" spans="1:11">
      <c r="G218" s="52"/>
    </row>
    <row r="219" spans="1:11">
      <c r="G219" s="52"/>
    </row>
    <row r="220" spans="1:11">
      <c r="G220" s="52"/>
    </row>
    <row r="221" spans="1:11">
      <c r="G221" s="52"/>
    </row>
    <row r="222" spans="1:11">
      <c r="G222" s="52"/>
    </row>
    <row r="223" spans="1:11">
      <c r="G223" s="52"/>
    </row>
    <row r="224" spans="1:11">
      <c r="G224" s="52"/>
    </row>
    <row r="225" spans="7:7">
      <c r="G225" s="52"/>
    </row>
    <row r="226" spans="7:7">
      <c r="G226" s="52"/>
    </row>
    <row r="227" spans="7:7">
      <c r="G227" s="52"/>
    </row>
  </sheetData>
  <autoFilter ref="A9:N214" xr:uid="{34BB96A7-53BD-4507-B62C-6AD24A499E83}">
    <filterColumn colId="1">
      <filters>
        <filter val="Dividend Distribution"/>
        <filter val="Mandate"/>
      </filters>
    </filterColumn>
  </autoFilter>
  <mergeCells count="3">
    <mergeCell ref="C1:K1"/>
    <mergeCell ref="I3:I4"/>
    <mergeCell ref="I5:I6"/>
  </mergeCells>
  <phoneticPr fontId="1" type="noConversion"/>
  <dataValidations count="1">
    <dataValidation type="list" allowBlank="1" showInputMessage="1" showErrorMessage="1" sqref="K10:K214" xr:uid="{DEE6512B-A7C6-4D7A-8F7E-DE932EEE3A5C}">
      <formula1>"Not Started,In progress,Completed"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C75D-3106-4AB0-94D9-52E881135DDD}">
  <sheetPr filterMode="1"/>
  <dimension ref="A1:O227"/>
  <sheetViews>
    <sheetView zoomScale="70" zoomScaleNormal="70" workbookViewId="0">
      <pane ySplit="9" topLeftCell="A16" activePane="bottomLeft" state="frozen"/>
      <selection pane="bottomLeft" activeCell="W24" sqref="W24"/>
    </sheetView>
  </sheetViews>
  <sheetFormatPr defaultColWidth="8.7109375" defaultRowHeight="12.75"/>
  <cols>
    <col min="1" max="1" width="9.42578125" style="49" customWidth="1"/>
    <col min="2" max="2" width="11.140625" style="49" customWidth="1"/>
    <col min="3" max="3" width="55.5703125" style="49" customWidth="1"/>
    <col min="4" max="4" width="15.28515625" style="49" customWidth="1"/>
    <col min="5" max="5" width="78.7109375" style="49" bestFit="1" customWidth="1"/>
    <col min="6" max="6" width="13.42578125" style="49" customWidth="1"/>
    <col min="7" max="7" width="12.85546875" style="49" customWidth="1"/>
    <col min="8" max="8" width="12" style="49" customWidth="1"/>
    <col min="9" max="9" width="11" style="49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6384" width="8.7109375" style="49"/>
  </cols>
  <sheetData>
    <row r="1" spans="1:15" s="46" customFormat="1" ht="24" customHeight="1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5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5">
      <c r="B3" s="67" t="s">
        <v>6</v>
      </c>
      <c r="C3" s="68">
        <f>COUNTA(E16:E1048576)</f>
        <v>199</v>
      </c>
      <c r="D3" s="68"/>
      <c r="E3" s="45"/>
      <c r="F3" s="69" t="s">
        <v>7</v>
      </c>
      <c r="G3" s="70">
        <f>G5-G4+1</f>
        <v>325</v>
      </c>
      <c r="H3" s="45"/>
      <c r="I3" s="120" t="s">
        <v>8</v>
      </c>
      <c r="J3" s="45"/>
      <c r="M3" s="60" t="s">
        <v>11</v>
      </c>
      <c r="N3" s="50" t="s">
        <v>12</v>
      </c>
    </row>
    <row r="4" spans="1:15" s="46" customFormat="1" ht="15">
      <c r="B4" s="71" t="s">
        <v>9</v>
      </c>
      <c r="C4" s="72">
        <f>COUNTIF(K16:K1048576,B4)</f>
        <v>0</v>
      </c>
      <c r="D4" s="72"/>
      <c r="E4" s="45"/>
      <c r="F4" s="73" t="s">
        <v>10</v>
      </c>
      <c r="G4" s="74">
        <f>MIN(H10:H1048576)</f>
        <v>45915</v>
      </c>
      <c r="H4" s="45"/>
      <c r="I4" s="121"/>
      <c r="J4" s="45"/>
      <c r="K4" s="89">
        <f>SUM(G10:G15)</f>
        <v>24</v>
      </c>
      <c r="M4" s="94" t="s">
        <v>276</v>
      </c>
      <c r="N4" s="57">
        <v>1</v>
      </c>
    </row>
    <row r="5" spans="1:15" s="46" customFormat="1" ht="15">
      <c r="B5" s="71" t="s">
        <v>16</v>
      </c>
      <c r="C5" s="72">
        <f>COUNTIF(K16:K1048576,B5)</f>
        <v>9</v>
      </c>
      <c r="D5" s="72"/>
      <c r="E5" s="45"/>
      <c r="F5" s="73" t="s">
        <v>17</v>
      </c>
      <c r="G5" s="74">
        <f>MAX(I10:I1048576)</f>
        <v>46239</v>
      </c>
      <c r="H5" s="45"/>
      <c r="I5" s="122"/>
      <c r="J5" s="45"/>
      <c r="K5" s="89">
        <f>SUM(G10:G214)</f>
        <v>408</v>
      </c>
      <c r="M5" s="56" t="s">
        <v>18</v>
      </c>
      <c r="N5" s="57">
        <v>1</v>
      </c>
    </row>
    <row r="6" spans="1:15" s="46" customFormat="1" ht="15">
      <c r="B6" s="71" t="s">
        <v>22</v>
      </c>
      <c r="C6" s="72">
        <f>COUNTIF(K16:K1048576,B6)</f>
        <v>190</v>
      </c>
      <c r="D6" s="72"/>
      <c r="E6" s="45"/>
      <c r="F6" s="73"/>
      <c r="G6" s="75"/>
      <c r="H6" s="45"/>
      <c r="I6" s="122"/>
      <c r="J6" s="45"/>
      <c r="M6" s="95" t="s">
        <v>279</v>
      </c>
      <c r="N6" s="57">
        <v>1</v>
      </c>
    </row>
    <row r="7" spans="1:15" s="46" customFormat="1" ht="1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90">
        <f>K4/K5</f>
        <v>5.8823529411764705E-2</v>
      </c>
      <c r="M7" s="56" t="s">
        <v>28</v>
      </c>
      <c r="N7" s="57">
        <v>1</v>
      </c>
    </row>
    <row r="8" spans="1:15" s="46" customFormat="1" ht="15">
      <c r="B8" s="44"/>
      <c r="C8" s="44"/>
      <c r="D8" s="44"/>
      <c r="E8" s="45"/>
      <c r="F8" s="45"/>
      <c r="G8" s="45"/>
      <c r="H8" s="45"/>
      <c r="I8" s="76"/>
      <c r="J8" s="45"/>
      <c r="K8" s="90"/>
      <c r="M8" s="94" t="s">
        <v>62</v>
      </c>
      <c r="N8" s="57">
        <v>1</v>
      </c>
    </row>
    <row r="9" spans="1:15" ht="25.5">
      <c r="A9" s="47" t="s">
        <v>272</v>
      </c>
      <c r="B9" s="47" t="s">
        <v>35</v>
      </c>
      <c r="C9" s="47" t="s">
        <v>36</v>
      </c>
      <c r="D9" s="47" t="s">
        <v>37</v>
      </c>
      <c r="E9" s="47" t="s">
        <v>38</v>
      </c>
      <c r="F9" s="47" t="s">
        <v>40</v>
      </c>
      <c r="G9" s="59" t="s">
        <v>41</v>
      </c>
      <c r="H9" s="48" t="s">
        <v>10</v>
      </c>
      <c r="I9" s="48" t="s">
        <v>17</v>
      </c>
      <c r="J9" s="48" t="s">
        <v>7</v>
      </c>
      <c r="K9" s="48" t="s">
        <v>42</v>
      </c>
    </row>
    <row r="10" spans="1:15" hidden="1">
      <c r="A10" s="51" t="s">
        <v>273</v>
      </c>
      <c r="B10" s="49" t="s">
        <v>274</v>
      </c>
      <c r="C10" s="51" t="s">
        <v>275</v>
      </c>
      <c r="D10" s="51" t="s">
        <v>46</v>
      </c>
      <c r="E10" s="51" t="s">
        <v>83</v>
      </c>
      <c r="F10" s="51" t="s">
        <v>276</v>
      </c>
      <c r="G10" s="52">
        <v>3</v>
      </c>
      <c r="H10" s="53">
        <v>45915</v>
      </c>
      <c r="I10" s="53">
        <f t="shared" ref="I10:I31" si="0">WORKDAY(H10,J10)</f>
        <v>45918</v>
      </c>
      <c r="J10" s="54">
        <f t="shared" ref="J10:J15" si="1">G10/$N$5</f>
        <v>3</v>
      </c>
      <c r="K10" s="102" t="s">
        <v>9</v>
      </c>
    </row>
    <row r="11" spans="1:15" hidden="1">
      <c r="A11" s="51" t="s">
        <v>273</v>
      </c>
      <c r="B11" s="49" t="s">
        <v>274</v>
      </c>
      <c r="C11" s="51" t="s">
        <v>45</v>
      </c>
      <c r="D11" s="51" t="s">
        <v>46</v>
      </c>
      <c r="E11" s="51" t="s">
        <v>277</v>
      </c>
      <c r="F11" s="51" t="s">
        <v>276</v>
      </c>
      <c r="G11" s="52">
        <v>3</v>
      </c>
      <c r="H11" s="53">
        <f>WORKDAY(I10,1)</f>
        <v>45919</v>
      </c>
      <c r="I11" s="53">
        <f t="shared" si="0"/>
        <v>45924</v>
      </c>
      <c r="J11" s="54">
        <f t="shared" si="1"/>
        <v>3</v>
      </c>
      <c r="K11" s="102" t="s">
        <v>9</v>
      </c>
    </row>
    <row r="12" spans="1:15" hidden="1">
      <c r="A12" s="51" t="s">
        <v>273</v>
      </c>
      <c r="B12" s="49" t="s">
        <v>274</v>
      </c>
      <c r="C12" s="51" t="s">
        <v>45</v>
      </c>
      <c r="D12" s="51" t="s">
        <v>50</v>
      </c>
      <c r="E12" s="51" t="s">
        <v>51</v>
      </c>
      <c r="F12" s="51" t="s">
        <v>18</v>
      </c>
      <c r="G12" s="52">
        <v>5</v>
      </c>
      <c r="H12" s="53">
        <f>WORKDAY(I11,1)</f>
        <v>45925</v>
      </c>
      <c r="I12" s="53">
        <f t="shared" si="0"/>
        <v>45932</v>
      </c>
      <c r="J12" s="54">
        <f t="shared" si="1"/>
        <v>5</v>
      </c>
      <c r="K12" s="102" t="s">
        <v>9</v>
      </c>
    </row>
    <row r="13" spans="1:15" hidden="1">
      <c r="A13" s="51" t="s">
        <v>273</v>
      </c>
      <c r="B13" s="49" t="s">
        <v>274</v>
      </c>
      <c r="C13" s="51" t="s">
        <v>45</v>
      </c>
      <c r="D13" s="51" t="s">
        <v>50</v>
      </c>
      <c r="E13" s="51" t="s">
        <v>52</v>
      </c>
      <c r="F13" s="51" t="s">
        <v>18</v>
      </c>
      <c r="G13" s="52">
        <v>5</v>
      </c>
      <c r="H13" s="53">
        <f>WORKDAY(I12,1)</f>
        <v>45933</v>
      </c>
      <c r="I13" s="53">
        <f t="shared" si="0"/>
        <v>45940</v>
      </c>
      <c r="J13" s="54">
        <f t="shared" si="1"/>
        <v>5</v>
      </c>
      <c r="K13" s="102" t="s">
        <v>9</v>
      </c>
    </row>
    <row r="14" spans="1:15" hidden="1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54</v>
      </c>
      <c r="F14" s="51" t="s">
        <v>18</v>
      </c>
      <c r="G14" s="52">
        <v>5</v>
      </c>
      <c r="H14" s="53">
        <f>WORKDAY(I13,1)</f>
        <v>45943</v>
      </c>
      <c r="I14" s="53">
        <f t="shared" si="0"/>
        <v>45950</v>
      </c>
      <c r="J14" s="54">
        <f t="shared" si="1"/>
        <v>5</v>
      </c>
      <c r="K14" s="102" t="s">
        <v>9</v>
      </c>
    </row>
    <row r="15" spans="1:15" hidden="1">
      <c r="A15" s="51" t="s">
        <v>273</v>
      </c>
      <c r="B15" s="49" t="s">
        <v>274</v>
      </c>
      <c r="C15" s="51" t="s">
        <v>45</v>
      </c>
      <c r="D15" s="51" t="s">
        <v>278</v>
      </c>
      <c r="E15" s="51" t="s">
        <v>56</v>
      </c>
      <c r="F15" s="51" t="s">
        <v>279</v>
      </c>
      <c r="G15" s="52">
        <v>3</v>
      </c>
      <c r="H15" s="53">
        <f>WORKDAY(I14,1)</f>
        <v>45951</v>
      </c>
      <c r="I15" s="53">
        <f t="shared" si="0"/>
        <v>45954</v>
      </c>
      <c r="J15" s="54">
        <f t="shared" si="1"/>
        <v>3</v>
      </c>
      <c r="K15" s="102" t="s">
        <v>9</v>
      </c>
    </row>
    <row r="16" spans="1:15">
      <c r="A16" s="51" t="s">
        <v>43</v>
      </c>
      <c r="B16" s="81" t="s">
        <v>44</v>
      </c>
      <c r="C16" s="51" t="s">
        <v>45</v>
      </c>
      <c r="D16" s="51" t="s">
        <v>46</v>
      </c>
      <c r="E16" s="51" t="s">
        <v>47</v>
      </c>
      <c r="F16" s="51" t="s">
        <v>276</v>
      </c>
      <c r="G16" s="52">
        <v>3</v>
      </c>
      <c r="H16" s="53">
        <v>45985</v>
      </c>
      <c r="I16" s="53">
        <f t="shared" si="0"/>
        <v>45988</v>
      </c>
      <c r="J16" s="54">
        <f>G16/N4</f>
        <v>3</v>
      </c>
      <c r="K16" s="55" t="s">
        <v>16</v>
      </c>
    </row>
    <row r="17" spans="1:11">
      <c r="A17" s="51" t="s">
        <v>43</v>
      </c>
      <c r="B17" s="81" t="s">
        <v>44</v>
      </c>
      <c r="C17" s="51" t="s">
        <v>45</v>
      </c>
      <c r="D17" s="51" t="s">
        <v>46</v>
      </c>
      <c r="E17" s="51" t="s">
        <v>49</v>
      </c>
      <c r="F17" s="51" t="s">
        <v>276</v>
      </c>
      <c r="G17" s="52">
        <v>3</v>
      </c>
      <c r="H17" s="53">
        <f>WORKDAY(I16,1)</f>
        <v>45989</v>
      </c>
      <c r="I17" s="53">
        <f t="shared" si="0"/>
        <v>45994</v>
      </c>
      <c r="J17" s="54">
        <f>G17/N4</f>
        <v>3</v>
      </c>
      <c r="K17" s="55" t="s">
        <v>16</v>
      </c>
    </row>
    <row r="18" spans="1:11">
      <c r="A18" s="51" t="s">
        <v>43</v>
      </c>
      <c r="B18" s="81" t="s">
        <v>44</v>
      </c>
      <c r="C18" s="51" t="s">
        <v>45</v>
      </c>
      <c r="D18" s="51" t="s">
        <v>50</v>
      </c>
      <c r="E18" s="51" t="s">
        <v>51</v>
      </c>
      <c r="F18" s="51" t="s">
        <v>18</v>
      </c>
      <c r="G18" s="52">
        <v>3</v>
      </c>
      <c r="H18" s="53">
        <f>WORKDAY(I17,1)</f>
        <v>45995</v>
      </c>
      <c r="I18" s="53">
        <f t="shared" si="0"/>
        <v>46000</v>
      </c>
      <c r="J18" s="54">
        <f>G18/$N$5</f>
        <v>3</v>
      </c>
      <c r="K18" s="55" t="s">
        <v>16</v>
      </c>
    </row>
    <row r="19" spans="1:11">
      <c r="A19" s="51" t="s">
        <v>43</v>
      </c>
      <c r="B19" s="81" t="s">
        <v>44</v>
      </c>
      <c r="C19" s="51" t="s">
        <v>45</v>
      </c>
      <c r="D19" s="51" t="s">
        <v>50</v>
      </c>
      <c r="E19" s="51" t="s">
        <v>52</v>
      </c>
      <c r="F19" s="51" t="s">
        <v>18</v>
      </c>
      <c r="G19" s="52">
        <v>5</v>
      </c>
      <c r="H19" s="53">
        <f>WORKDAY(I18,1)</f>
        <v>46001</v>
      </c>
      <c r="I19" s="53">
        <f t="shared" si="0"/>
        <v>46008</v>
      </c>
      <c r="J19" s="54">
        <f>G19/$N$5</f>
        <v>5</v>
      </c>
      <c r="K19" s="55" t="s">
        <v>22</v>
      </c>
    </row>
    <row r="20" spans="1:11">
      <c r="A20" s="51" t="s">
        <v>53</v>
      </c>
      <c r="B20" s="81" t="s">
        <v>44</v>
      </c>
      <c r="C20" s="51" t="s">
        <v>45</v>
      </c>
      <c r="D20" s="51" t="s">
        <v>50</v>
      </c>
      <c r="E20" s="51" t="s">
        <v>54</v>
      </c>
      <c r="F20" s="51" t="s">
        <v>18</v>
      </c>
      <c r="G20" s="52">
        <v>2</v>
      </c>
      <c r="H20" s="53">
        <f>WORKDAY(I19,1)</f>
        <v>46009</v>
      </c>
      <c r="I20" s="53">
        <f t="shared" si="0"/>
        <v>46013</v>
      </c>
      <c r="J20" s="54">
        <f>G20/$N$5</f>
        <v>2</v>
      </c>
      <c r="K20" s="55" t="s">
        <v>22</v>
      </c>
    </row>
    <row r="21" spans="1:11">
      <c r="A21" s="51" t="s">
        <v>53</v>
      </c>
      <c r="B21" s="81" t="s">
        <v>44</v>
      </c>
      <c r="C21" s="51" t="s">
        <v>45</v>
      </c>
      <c r="D21" s="51" t="s">
        <v>278</v>
      </c>
      <c r="E21" s="51" t="s">
        <v>56</v>
      </c>
      <c r="F21" s="51" t="s">
        <v>279</v>
      </c>
      <c r="G21" s="52">
        <v>3</v>
      </c>
      <c r="H21" s="53">
        <f>WORKDAY(I20,1)</f>
        <v>46014</v>
      </c>
      <c r="I21" s="53">
        <f t="shared" si="0"/>
        <v>46017</v>
      </c>
      <c r="J21" s="54">
        <f t="shared" ref="J21" si="2">G21/$N$5</f>
        <v>3</v>
      </c>
      <c r="K21" s="55" t="s">
        <v>22</v>
      </c>
    </row>
    <row r="22" spans="1:11">
      <c r="A22" s="51" t="s">
        <v>53</v>
      </c>
      <c r="B22" s="81" t="s">
        <v>44</v>
      </c>
      <c r="C22" s="51" t="s">
        <v>58</v>
      </c>
      <c r="D22" s="51" t="s">
        <v>46</v>
      </c>
      <c r="E22" s="51" t="s">
        <v>59</v>
      </c>
      <c r="F22" s="51" t="s">
        <v>276</v>
      </c>
      <c r="G22" s="52">
        <v>1.5</v>
      </c>
      <c r="H22" s="53">
        <f>WORKDAY(I17,1)</f>
        <v>45995</v>
      </c>
      <c r="I22" s="53">
        <f t="shared" si="0"/>
        <v>45996</v>
      </c>
      <c r="J22" s="54">
        <f>G22/$N$6</f>
        <v>1.5</v>
      </c>
      <c r="K22" s="55" t="s">
        <v>16</v>
      </c>
    </row>
    <row r="23" spans="1:11">
      <c r="A23" s="51" t="s">
        <v>53</v>
      </c>
      <c r="B23" s="81" t="s">
        <v>44</v>
      </c>
      <c r="C23" s="51" t="s">
        <v>58</v>
      </c>
      <c r="D23" s="51" t="s">
        <v>46</v>
      </c>
      <c r="E23" s="51" t="s">
        <v>60</v>
      </c>
      <c r="F23" s="51" t="s">
        <v>276</v>
      </c>
      <c r="G23" s="52">
        <v>1.5</v>
      </c>
      <c r="H23" s="53">
        <f>WORKDAY(I22,1)</f>
        <v>45999</v>
      </c>
      <c r="I23" s="53">
        <f t="shared" si="0"/>
        <v>46000</v>
      </c>
      <c r="J23" s="54">
        <f>G23/$N$6</f>
        <v>1.5</v>
      </c>
      <c r="K23" s="55" t="s">
        <v>16</v>
      </c>
    </row>
    <row r="24" spans="1:11">
      <c r="A24" s="51" t="s">
        <v>53</v>
      </c>
      <c r="B24" s="81" t="s">
        <v>44</v>
      </c>
      <c r="C24" s="51" t="s">
        <v>58</v>
      </c>
      <c r="D24" s="51" t="s">
        <v>50</v>
      </c>
      <c r="E24" s="51" t="s">
        <v>61</v>
      </c>
      <c r="F24" s="51" t="s">
        <v>62</v>
      </c>
      <c r="G24" s="52">
        <v>4</v>
      </c>
      <c r="H24" s="53">
        <f>WORKDAY(I23,1)</f>
        <v>46001</v>
      </c>
      <c r="I24" s="53">
        <f t="shared" si="0"/>
        <v>46007</v>
      </c>
      <c r="J24" s="54">
        <f>G24/$N$5</f>
        <v>4</v>
      </c>
      <c r="K24" s="55" t="s">
        <v>22</v>
      </c>
    </row>
    <row r="25" spans="1:11">
      <c r="A25" s="51" t="s">
        <v>63</v>
      </c>
      <c r="B25" s="81" t="s">
        <v>64</v>
      </c>
      <c r="C25" s="51" t="s">
        <v>58</v>
      </c>
      <c r="D25" s="51" t="s">
        <v>50</v>
      </c>
      <c r="E25" s="51" t="s">
        <v>65</v>
      </c>
      <c r="F25" s="51" t="s">
        <v>18</v>
      </c>
      <c r="G25" s="52">
        <v>4</v>
      </c>
      <c r="H25" s="53">
        <f>WORKDAY(I23,1)</f>
        <v>46001</v>
      </c>
      <c r="I25" s="53">
        <f t="shared" si="0"/>
        <v>46007</v>
      </c>
      <c r="J25" s="54">
        <f t="shared" ref="J25:J26" si="3">G25/$N$5</f>
        <v>4</v>
      </c>
      <c r="K25" s="55" t="s">
        <v>22</v>
      </c>
    </row>
    <row r="26" spans="1:11">
      <c r="A26" s="51" t="s">
        <v>63</v>
      </c>
      <c r="B26" s="81" t="s">
        <v>44</v>
      </c>
      <c r="C26" s="51" t="s">
        <v>58</v>
      </c>
      <c r="D26" s="51" t="s">
        <v>278</v>
      </c>
      <c r="E26" s="51" t="s">
        <v>66</v>
      </c>
      <c r="F26" s="51" t="s">
        <v>279</v>
      </c>
      <c r="G26" s="52">
        <v>3</v>
      </c>
      <c r="H26" s="53">
        <f>WORKDAY(I25,1)</f>
        <v>46008</v>
      </c>
      <c r="I26" s="53">
        <f t="shared" si="0"/>
        <v>46013</v>
      </c>
      <c r="J26" s="54">
        <f t="shared" si="3"/>
        <v>3</v>
      </c>
      <c r="K26" s="55" t="s">
        <v>22</v>
      </c>
    </row>
    <row r="27" spans="1:11">
      <c r="A27" s="51" t="s">
        <v>63</v>
      </c>
      <c r="B27" s="81" t="s">
        <v>44</v>
      </c>
      <c r="C27" s="51" t="s">
        <v>67</v>
      </c>
      <c r="D27" s="51" t="s">
        <v>46</v>
      </c>
      <c r="E27" s="51" t="s">
        <v>68</v>
      </c>
      <c r="F27" s="51" t="s">
        <v>276</v>
      </c>
      <c r="G27" s="52">
        <v>1.5</v>
      </c>
      <c r="H27" s="53">
        <f>WORKDAY(I23,1)</f>
        <v>46001</v>
      </c>
      <c r="I27" s="53">
        <f t="shared" si="0"/>
        <v>46002</v>
      </c>
      <c r="J27" s="54">
        <f>G27/$N$4</f>
        <v>1.5</v>
      </c>
      <c r="K27" s="55" t="s">
        <v>16</v>
      </c>
    </row>
    <row r="28" spans="1:11">
      <c r="A28" s="51" t="s">
        <v>63</v>
      </c>
      <c r="B28" s="81" t="s">
        <v>44</v>
      </c>
      <c r="C28" s="51" t="s">
        <v>67</v>
      </c>
      <c r="D28" s="51" t="s">
        <v>46</v>
      </c>
      <c r="E28" s="51" t="s">
        <v>69</v>
      </c>
      <c r="F28" s="51" t="s">
        <v>276</v>
      </c>
      <c r="G28" s="52">
        <v>1.5</v>
      </c>
      <c r="H28" s="53">
        <f>WORKDAY(I27,1)</f>
        <v>46003</v>
      </c>
      <c r="I28" s="53">
        <f t="shared" si="0"/>
        <v>46006</v>
      </c>
      <c r="J28" s="54">
        <f>G28/$N$4</f>
        <v>1.5</v>
      </c>
      <c r="K28" s="55" t="s">
        <v>16</v>
      </c>
    </row>
    <row r="29" spans="1:11">
      <c r="A29" s="51" t="s">
        <v>70</v>
      </c>
      <c r="B29" s="81" t="s">
        <v>44</v>
      </c>
      <c r="C29" s="51" t="s">
        <v>67</v>
      </c>
      <c r="D29" s="51" t="s">
        <v>50</v>
      </c>
      <c r="E29" s="51" t="s">
        <v>71</v>
      </c>
      <c r="F29" s="51" t="s">
        <v>62</v>
      </c>
      <c r="G29" s="52">
        <v>4</v>
      </c>
      <c r="H29" s="53">
        <f>WORKDAY(I28,1)</f>
        <v>46007</v>
      </c>
      <c r="I29" s="53">
        <f t="shared" si="0"/>
        <v>46013</v>
      </c>
      <c r="J29" s="54">
        <f>G29/$N$5</f>
        <v>4</v>
      </c>
      <c r="K29" s="55" t="s">
        <v>22</v>
      </c>
    </row>
    <row r="30" spans="1:11">
      <c r="A30" s="51" t="s">
        <v>70</v>
      </c>
      <c r="B30" s="81" t="s">
        <v>44</v>
      </c>
      <c r="C30" s="51" t="s">
        <v>67</v>
      </c>
      <c r="D30" s="51" t="s">
        <v>50</v>
      </c>
      <c r="E30" s="51" t="s">
        <v>72</v>
      </c>
      <c r="F30" s="51" t="s">
        <v>18</v>
      </c>
      <c r="G30" s="52">
        <v>4</v>
      </c>
      <c r="H30" s="53">
        <f>WORKDAY(I28,1)</f>
        <v>46007</v>
      </c>
      <c r="I30" s="53">
        <f t="shared" si="0"/>
        <v>46013</v>
      </c>
      <c r="J30" s="54">
        <f t="shared" ref="J30:J31" si="4">G30/$N$5</f>
        <v>4</v>
      </c>
      <c r="K30" s="55" t="s">
        <v>22</v>
      </c>
    </row>
    <row r="31" spans="1:11">
      <c r="A31" s="51" t="s">
        <v>73</v>
      </c>
      <c r="B31" s="81" t="s">
        <v>44</v>
      </c>
      <c r="C31" s="51" t="s">
        <v>67</v>
      </c>
      <c r="D31" s="51" t="s">
        <v>278</v>
      </c>
      <c r="E31" s="51" t="s">
        <v>74</v>
      </c>
      <c r="F31" s="51" t="s">
        <v>279</v>
      </c>
      <c r="G31" s="52">
        <v>2</v>
      </c>
      <c r="H31" s="53">
        <f>WORKDAY(I30,1)</f>
        <v>46014</v>
      </c>
      <c r="I31" s="53">
        <f t="shared" si="0"/>
        <v>46016</v>
      </c>
      <c r="J31" s="54">
        <f t="shared" si="4"/>
        <v>2</v>
      </c>
      <c r="K31" s="55" t="s">
        <v>22</v>
      </c>
    </row>
    <row r="32" spans="1:11">
      <c r="A32" s="51" t="s">
        <v>63</v>
      </c>
      <c r="B32" s="81" t="s">
        <v>44</v>
      </c>
      <c r="C32" s="51" t="s">
        <v>75</v>
      </c>
      <c r="D32" s="51" t="s">
        <v>46</v>
      </c>
      <c r="E32" s="51" t="s">
        <v>76</v>
      </c>
      <c r="F32" s="51" t="s">
        <v>276</v>
      </c>
      <c r="G32" s="52">
        <v>1.5</v>
      </c>
      <c r="H32" s="53">
        <f>WORKDAY(I28,1)</f>
        <v>46007</v>
      </c>
      <c r="I32" s="53">
        <f>WORKDAY(H32,J32)</f>
        <v>46008</v>
      </c>
      <c r="J32" s="54">
        <f>G32/$N$4</f>
        <v>1.5</v>
      </c>
      <c r="K32" s="55" t="s">
        <v>16</v>
      </c>
    </row>
    <row r="33" spans="1:11">
      <c r="A33" s="51" t="s">
        <v>63</v>
      </c>
      <c r="B33" s="81" t="s">
        <v>44</v>
      </c>
      <c r="C33" s="51" t="s">
        <v>75</v>
      </c>
      <c r="D33" s="51" t="s">
        <v>46</v>
      </c>
      <c r="E33" s="51" t="s">
        <v>77</v>
      </c>
      <c r="F33" s="51" t="s">
        <v>276</v>
      </c>
      <c r="G33" s="52">
        <v>1.5</v>
      </c>
      <c r="H33" s="53">
        <f>WORKDAY(I32,1)</f>
        <v>46009</v>
      </c>
      <c r="I33" s="53">
        <f t="shared" ref="I33:I82" si="5">WORKDAY(H33,J33)</f>
        <v>46010</v>
      </c>
      <c r="J33" s="54">
        <f>G33/$N$4</f>
        <v>1.5</v>
      </c>
      <c r="K33" s="55" t="s">
        <v>16</v>
      </c>
    </row>
    <row r="34" spans="1:11">
      <c r="A34" s="51" t="s">
        <v>73</v>
      </c>
      <c r="B34" s="81" t="s">
        <v>44</v>
      </c>
      <c r="C34" s="51" t="s">
        <v>75</v>
      </c>
      <c r="D34" s="51" t="s">
        <v>50</v>
      </c>
      <c r="E34" s="51" t="s">
        <v>78</v>
      </c>
      <c r="F34" s="51" t="s">
        <v>62</v>
      </c>
      <c r="G34" s="52">
        <v>4</v>
      </c>
      <c r="H34" s="53">
        <v>46014</v>
      </c>
      <c r="I34" s="53">
        <f t="shared" si="5"/>
        <v>46020</v>
      </c>
      <c r="J34" s="54">
        <f>G34/$N$5</f>
        <v>4</v>
      </c>
      <c r="K34" s="55" t="s">
        <v>22</v>
      </c>
    </row>
    <row r="35" spans="1:11">
      <c r="A35" s="51" t="s">
        <v>73</v>
      </c>
      <c r="B35" s="81" t="s">
        <v>44</v>
      </c>
      <c r="C35" s="51" t="s">
        <v>75</v>
      </c>
      <c r="D35" s="51" t="s">
        <v>50</v>
      </c>
      <c r="E35" s="51" t="s">
        <v>79</v>
      </c>
      <c r="F35" s="51" t="s">
        <v>18</v>
      </c>
      <c r="G35" s="52">
        <v>4</v>
      </c>
      <c r="H35" s="53">
        <v>46014</v>
      </c>
      <c r="I35" s="53">
        <f t="shared" si="5"/>
        <v>46020</v>
      </c>
      <c r="J35" s="54">
        <f>G35/$N$5</f>
        <v>4</v>
      </c>
      <c r="K35" s="55" t="s">
        <v>22</v>
      </c>
    </row>
    <row r="36" spans="1:11">
      <c r="A36" s="82" t="s">
        <v>80</v>
      </c>
      <c r="B36" s="83" t="s">
        <v>44</v>
      </c>
      <c r="C36" s="82" t="s">
        <v>75</v>
      </c>
      <c r="D36" s="82" t="s">
        <v>278</v>
      </c>
      <c r="E36" s="82" t="s">
        <v>81</v>
      </c>
      <c r="F36" s="51" t="s">
        <v>279</v>
      </c>
      <c r="G36" s="84">
        <v>2</v>
      </c>
      <c r="H36" s="85">
        <f>WORKDAY(I35,1)</f>
        <v>46021</v>
      </c>
      <c r="I36" s="85">
        <f t="shared" si="5"/>
        <v>46023</v>
      </c>
      <c r="J36" s="86">
        <f>G36/$N$5</f>
        <v>2</v>
      </c>
      <c r="K36" s="87" t="s">
        <v>22</v>
      </c>
    </row>
    <row r="37" spans="1:11">
      <c r="A37" s="51" t="s">
        <v>43</v>
      </c>
      <c r="B37" s="81" t="s">
        <v>82</v>
      </c>
      <c r="C37" s="51" t="s">
        <v>45</v>
      </c>
      <c r="D37" s="51" t="s">
        <v>46</v>
      </c>
      <c r="E37" s="51" t="s">
        <v>83</v>
      </c>
      <c r="F37" s="51" t="s">
        <v>276</v>
      </c>
      <c r="G37" s="52">
        <v>3</v>
      </c>
      <c r="H37" s="53">
        <f>WORKDAY(I33,1)</f>
        <v>46013</v>
      </c>
      <c r="I37" s="53">
        <f t="shared" si="5"/>
        <v>46016</v>
      </c>
      <c r="J37" s="54">
        <f>G37/$N$6</f>
        <v>3</v>
      </c>
      <c r="K37" s="55" t="s">
        <v>22</v>
      </c>
    </row>
    <row r="38" spans="1:11">
      <c r="A38" s="51" t="s">
        <v>53</v>
      </c>
      <c r="B38" s="81" t="s">
        <v>84</v>
      </c>
      <c r="C38" s="51" t="s">
        <v>45</v>
      </c>
      <c r="D38" s="51" t="s">
        <v>46</v>
      </c>
      <c r="E38" s="51" t="s">
        <v>85</v>
      </c>
      <c r="F38" s="51" t="s">
        <v>276</v>
      </c>
      <c r="G38" s="52">
        <v>3</v>
      </c>
      <c r="H38" s="53">
        <f>WORKDAY(I37,1)</f>
        <v>46017</v>
      </c>
      <c r="I38" s="53">
        <f t="shared" si="5"/>
        <v>46022</v>
      </c>
      <c r="J38" s="54">
        <f t="shared" ref="J38" si="6">G38/$N$6</f>
        <v>3</v>
      </c>
      <c r="K38" s="55" t="s">
        <v>22</v>
      </c>
    </row>
    <row r="39" spans="1:11">
      <c r="A39" s="51" t="s">
        <v>53</v>
      </c>
      <c r="B39" s="81" t="s">
        <v>84</v>
      </c>
      <c r="C39" s="51" t="s">
        <v>45</v>
      </c>
      <c r="D39" s="51" t="s">
        <v>50</v>
      </c>
      <c r="E39" s="51" t="s">
        <v>51</v>
      </c>
      <c r="F39" s="51" t="s">
        <v>86</v>
      </c>
      <c r="G39" s="52">
        <v>4</v>
      </c>
      <c r="H39" s="53">
        <v>46024</v>
      </c>
      <c r="I39" s="53">
        <f t="shared" si="5"/>
        <v>46030</v>
      </c>
      <c r="J39" s="54">
        <f>G39/$N$7</f>
        <v>4</v>
      </c>
      <c r="K39" s="55" t="s">
        <v>22</v>
      </c>
    </row>
    <row r="40" spans="1:11">
      <c r="A40" s="51" t="s">
        <v>63</v>
      </c>
      <c r="B40" s="81" t="s">
        <v>84</v>
      </c>
      <c r="C40" s="51" t="s">
        <v>45</v>
      </c>
      <c r="D40" s="51" t="s">
        <v>50</v>
      </c>
      <c r="E40" s="51" t="s">
        <v>52</v>
      </c>
      <c r="F40" s="51" t="s">
        <v>86</v>
      </c>
      <c r="G40" s="52">
        <v>4</v>
      </c>
      <c r="H40" s="53">
        <f t="shared" ref="H40:H42" si="7">WORKDAY(I39,1)</f>
        <v>46031</v>
      </c>
      <c r="I40" s="53">
        <f t="shared" si="5"/>
        <v>46037</v>
      </c>
      <c r="J40" s="54">
        <f>G40/$N$7</f>
        <v>4</v>
      </c>
      <c r="K40" s="55" t="s">
        <v>22</v>
      </c>
    </row>
    <row r="41" spans="1:11">
      <c r="A41" s="51" t="s">
        <v>70</v>
      </c>
      <c r="B41" s="81" t="s">
        <v>84</v>
      </c>
      <c r="C41" s="51" t="s">
        <v>45</v>
      </c>
      <c r="D41" s="51" t="s">
        <v>50</v>
      </c>
      <c r="E41" s="51" t="s">
        <v>54</v>
      </c>
      <c r="F41" s="51" t="s">
        <v>86</v>
      </c>
      <c r="G41" s="52">
        <v>2</v>
      </c>
      <c r="H41" s="53">
        <f t="shared" si="7"/>
        <v>46038</v>
      </c>
      <c r="I41" s="53">
        <f t="shared" si="5"/>
        <v>46042</v>
      </c>
      <c r="J41" s="54">
        <f>G41/$N$7</f>
        <v>2</v>
      </c>
      <c r="K41" s="55" t="s">
        <v>22</v>
      </c>
    </row>
    <row r="42" spans="1:11">
      <c r="A42" s="51" t="s">
        <v>73</v>
      </c>
      <c r="B42" s="81" t="s">
        <v>84</v>
      </c>
      <c r="C42" s="51" t="s">
        <v>45</v>
      </c>
      <c r="D42" s="51" t="s">
        <v>278</v>
      </c>
      <c r="E42" s="51" t="s">
        <v>56</v>
      </c>
      <c r="F42" s="51" t="s">
        <v>279</v>
      </c>
      <c r="G42" s="52">
        <v>3</v>
      </c>
      <c r="H42" s="53">
        <f t="shared" si="7"/>
        <v>46043</v>
      </c>
      <c r="I42" s="53">
        <f t="shared" si="5"/>
        <v>46048</v>
      </c>
      <c r="J42" s="86">
        <f>G42/$N$5</f>
        <v>3</v>
      </c>
      <c r="K42" s="55" t="s">
        <v>22</v>
      </c>
    </row>
    <row r="43" spans="1:11">
      <c r="A43" s="51" t="s">
        <v>70</v>
      </c>
      <c r="B43" s="81" t="s">
        <v>84</v>
      </c>
      <c r="C43" s="77" t="s">
        <v>87</v>
      </c>
      <c r="D43" s="51" t="s">
        <v>46</v>
      </c>
      <c r="E43" s="51" t="s">
        <v>88</v>
      </c>
      <c r="F43" s="51" t="s">
        <v>276</v>
      </c>
      <c r="G43" s="52">
        <v>2</v>
      </c>
      <c r="H43" s="53">
        <v>46024</v>
      </c>
      <c r="I43" s="53">
        <f t="shared" si="5"/>
        <v>46028</v>
      </c>
      <c r="J43" s="54">
        <f>G43/$N$7</f>
        <v>2</v>
      </c>
      <c r="K43" s="55" t="s">
        <v>22</v>
      </c>
    </row>
    <row r="44" spans="1:11">
      <c r="A44" s="51" t="s">
        <v>70</v>
      </c>
      <c r="B44" s="81" t="s">
        <v>84</v>
      </c>
      <c r="C44" s="77" t="s">
        <v>87</v>
      </c>
      <c r="D44" s="51" t="s">
        <v>46</v>
      </c>
      <c r="E44" s="51" t="s">
        <v>89</v>
      </c>
      <c r="F44" s="51" t="s">
        <v>276</v>
      </c>
      <c r="G44" s="52">
        <v>2</v>
      </c>
      <c r="H44" s="53">
        <f t="shared" ref="H44:H50" si="8">WORKDAY(I43,1)</f>
        <v>46029</v>
      </c>
      <c r="I44" s="53">
        <f t="shared" si="5"/>
        <v>46031</v>
      </c>
      <c r="J44" s="54">
        <f t="shared" ref="J44:J51" si="9">G44/$N$7</f>
        <v>2</v>
      </c>
      <c r="K44" s="55" t="s">
        <v>22</v>
      </c>
    </row>
    <row r="45" spans="1:11">
      <c r="A45" s="51" t="s">
        <v>70</v>
      </c>
      <c r="B45" s="81" t="s">
        <v>84</v>
      </c>
      <c r="C45" s="77" t="s">
        <v>87</v>
      </c>
      <c r="D45" s="51" t="s">
        <v>50</v>
      </c>
      <c r="E45" s="51" t="s">
        <v>90</v>
      </c>
      <c r="F45" s="51" t="s">
        <v>62</v>
      </c>
      <c r="G45" s="52">
        <v>5</v>
      </c>
      <c r="H45" s="53">
        <f t="shared" si="8"/>
        <v>46034</v>
      </c>
      <c r="I45" s="53">
        <f t="shared" si="5"/>
        <v>46041</v>
      </c>
      <c r="J45" s="54">
        <f>G45/$N$8</f>
        <v>5</v>
      </c>
      <c r="K45" s="55" t="s">
        <v>22</v>
      </c>
    </row>
    <row r="46" spans="1:11">
      <c r="A46" s="51" t="s">
        <v>73</v>
      </c>
      <c r="B46" s="81" t="s">
        <v>84</v>
      </c>
      <c r="C46" s="77" t="s">
        <v>87</v>
      </c>
      <c r="D46" s="51" t="s">
        <v>50</v>
      </c>
      <c r="E46" s="51" t="s">
        <v>91</v>
      </c>
      <c r="F46" s="51" t="s">
        <v>86</v>
      </c>
      <c r="G46" s="52">
        <v>5</v>
      </c>
      <c r="H46" s="53">
        <f>WORKDAY(I44,1)</f>
        <v>46034</v>
      </c>
      <c r="I46" s="53">
        <f t="shared" si="5"/>
        <v>46041</v>
      </c>
      <c r="J46" s="54">
        <f t="shared" si="9"/>
        <v>5</v>
      </c>
      <c r="K46" s="55" t="s">
        <v>22</v>
      </c>
    </row>
    <row r="47" spans="1:11">
      <c r="A47" s="51" t="s">
        <v>73</v>
      </c>
      <c r="B47" s="81" t="s">
        <v>84</v>
      </c>
      <c r="C47" s="77" t="s">
        <v>87</v>
      </c>
      <c r="D47" s="51" t="s">
        <v>278</v>
      </c>
      <c r="E47" s="51" t="s">
        <v>92</v>
      </c>
      <c r="F47" s="51" t="s">
        <v>279</v>
      </c>
      <c r="G47" s="52">
        <v>2</v>
      </c>
      <c r="H47" s="53">
        <f t="shared" si="8"/>
        <v>46042</v>
      </c>
      <c r="I47" s="53">
        <f t="shared" si="5"/>
        <v>46044</v>
      </c>
      <c r="J47" s="86">
        <f>G47/$N$5</f>
        <v>2</v>
      </c>
      <c r="K47" s="55" t="s">
        <v>22</v>
      </c>
    </row>
    <row r="48" spans="1:11">
      <c r="A48" s="51" t="s">
        <v>80</v>
      </c>
      <c r="B48" s="81" t="s">
        <v>84</v>
      </c>
      <c r="C48" s="77" t="s">
        <v>93</v>
      </c>
      <c r="D48" s="51" t="s">
        <v>46</v>
      </c>
      <c r="E48" s="51" t="s">
        <v>94</v>
      </c>
      <c r="F48" s="51" t="s">
        <v>276</v>
      </c>
      <c r="G48" s="52">
        <v>2</v>
      </c>
      <c r="H48" s="53">
        <f>WORKDAY(I44,1)</f>
        <v>46034</v>
      </c>
      <c r="I48" s="53">
        <f t="shared" si="5"/>
        <v>46036</v>
      </c>
      <c r="J48" s="54">
        <f t="shared" si="9"/>
        <v>2</v>
      </c>
      <c r="K48" s="55" t="s">
        <v>22</v>
      </c>
    </row>
    <row r="49" spans="1:11">
      <c r="A49" s="51" t="s">
        <v>80</v>
      </c>
      <c r="B49" s="81" t="s">
        <v>84</v>
      </c>
      <c r="C49" s="77" t="s">
        <v>93</v>
      </c>
      <c r="D49" s="51" t="s">
        <v>46</v>
      </c>
      <c r="E49" s="51" t="s">
        <v>95</v>
      </c>
      <c r="F49" s="51" t="s">
        <v>276</v>
      </c>
      <c r="G49" s="52">
        <v>2</v>
      </c>
      <c r="H49" s="53">
        <f t="shared" si="8"/>
        <v>46037</v>
      </c>
      <c r="I49" s="53">
        <f t="shared" si="5"/>
        <v>46041</v>
      </c>
      <c r="J49" s="54">
        <f t="shared" si="9"/>
        <v>2</v>
      </c>
      <c r="K49" s="55" t="s">
        <v>22</v>
      </c>
    </row>
    <row r="50" spans="1:11">
      <c r="A50" s="51" t="s">
        <v>80</v>
      </c>
      <c r="B50" s="81" t="s">
        <v>84</v>
      </c>
      <c r="C50" s="77" t="s">
        <v>93</v>
      </c>
      <c r="D50" s="51" t="s">
        <v>50</v>
      </c>
      <c r="E50" s="51" t="s">
        <v>96</v>
      </c>
      <c r="F50" s="51" t="s">
        <v>62</v>
      </c>
      <c r="G50" s="52">
        <v>5</v>
      </c>
      <c r="H50" s="53">
        <f t="shared" si="8"/>
        <v>46042</v>
      </c>
      <c r="I50" s="53">
        <f t="shared" si="5"/>
        <v>46049</v>
      </c>
      <c r="J50" s="54">
        <f>G50/$N$8</f>
        <v>5</v>
      </c>
      <c r="K50" s="55" t="s">
        <v>22</v>
      </c>
    </row>
    <row r="51" spans="1:11">
      <c r="A51" s="51" t="s">
        <v>97</v>
      </c>
      <c r="B51" s="81" t="s">
        <v>84</v>
      </c>
      <c r="C51" s="77" t="s">
        <v>93</v>
      </c>
      <c r="D51" s="51" t="s">
        <v>50</v>
      </c>
      <c r="E51" s="51" t="s">
        <v>98</v>
      </c>
      <c r="F51" s="51" t="s">
        <v>86</v>
      </c>
      <c r="G51" s="52">
        <v>5</v>
      </c>
      <c r="H51" s="53">
        <f>WORKDAY(I49,1)</f>
        <v>46042</v>
      </c>
      <c r="I51" s="53">
        <f t="shared" si="5"/>
        <v>46049</v>
      </c>
      <c r="J51" s="54">
        <f t="shared" si="9"/>
        <v>5</v>
      </c>
      <c r="K51" s="55" t="s">
        <v>22</v>
      </c>
    </row>
    <row r="52" spans="1:11">
      <c r="A52" s="51" t="s">
        <v>100</v>
      </c>
      <c r="B52" s="81" t="s">
        <v>84</v>
      </c>
      <c r="C52" s="77" t="s">
        <v>93</v>
      </c>
      <c r="D52" s="51" t="s">
        <v>278</v>
      </c>
      <c r="E52" s="51" t="s">
        <v>101</v>
      </c>
      <c r="F52" s="51" t="s">
        <v>279</v>
      </c>
      <c r="G52" s="52">
        <v>2</v>
      </c>
      <c r="H52" s="53">
        <f>WORKDAY(I51,1)</f>
        <v>46050</v>
      </c>
      <c r="I52" s="53">
        <f t="shared" si="5"/>
        <v>46052</v>
      </c>
      <c r="J52" s="86">
        <f>G52/$N$5</f>
        <v>2</v>
      </c>
      <c r="K52" s="55" t="s">
        <v>22</v>
      </c>
    </row>
    <row r="53" spans="1:11">
      <c r="A53" s="51" t="s">
        <v>80</v>
      </c>
      <c r="B53" s="81" t="s">
        <v>84</v>
      </c>
      <c r="C53" s="77" t="s">
        <v>102</v>
      </c>
      <c r="D53" s="51" t="s">
        <v>46</v>
      </c>
      <c r="E53" s="51" t="s">
        <v>103</v>
      </c>
      <c r="F53" s="51" t="s">
        <v>276</v>
      </c>
      <c r="G53" s="52">
        <v>2</v>
      </c>
      <c r="H53" s="53">
        <f>WORKDAY(I49,1)</f>
        <v>46042</v>
      </c>
      <c r="I53" s="53">
        <f t="shared" si="5"/>
        <v>46044</v>
      </c>
      <c r="J53" s="54">
        <f t="shared" ref="J53:J71" si="10">G53/$N$5</f>
        <v>2</v>
      </c>
      <c r="K53" s="55" t="s">
        <v>22</v>
      </c>
    </row>
    <row r="54" spans="1:11">
      <c r="A54" s="51" t="s">
        <v>97</v>
      </c>
      <c r="B54" s="81" t="s">
        <v>84</v>
      </c>
      <c r="C54" s="77" t="s">
        <v>102</v>
      </c>
      <c r="D54" s="51" t="s">
        <v>46</v>
      </c>
      <c r="E54" s="51" t="s">
        <v>104</v>
      </c>
      <c r="F54" s="51" t="s">
        <v>276</v>
      </c>
      <c r="G54" s="52">
        <v>2</v>
      </c>
      <c r="H54" s="53">
        <f>WORKDAY(I53,1)</f>
        <v>46045</v>
      </c>
      <c r="I54" s="53">
        <f t="shared" si="5"/>
        <v>46049</v>
      </c>
      <c r="J54" s="54">
        <f t="shared" si="10"/>
        <v>2</v>
      </c>
      <c r="K54" s="55" t="s">
        <v>22</v>
      </c>
    </row>
    <row r="55" spans="1:11">
      <c r="A55" s="51" t="s">
        <v>97</v>
      </c>
      <c r="B55" s="81" t="s">
        <v>84</v>
      </c>
      <c r="C55" s="77" t="s">
        <v>102</v>
      </c>
      <c r="D55" s="51" t="s">
        <v>50</v>
      </c>
      <c r="E55" s="51" t="s">
        <v>105</v>
      </c>
      <c r="F55" s="51" t="s">
        <v>62</v>
      </c>
      <c r="G55" s="52">
        <v>5</v>
      </c>
      <c r="H55" s="53">
        <f t="shared" ref="H55:H72" si="11">WORKDAY(I54,1)</f>
        <v>46050</v>
      </c>
      <c r="I55" s="53">
        <f t="shared" si="5"/>
        <v>46057</v>
      </c>
      <c r="J55" s="54">
        <f>G55/$N$8</f>
        <v>5</v>
      </c>
      <c r="K55" s="55" t="s">
        <v>22</v>
      </c>
    </row>
    <row r="56" spans="1:11">
      <c r="A56" s="51" t="s">
        <v>100</v>
      </c>
      <c r="B56" s="81" t="s">
        <v>84</v>
      </c>
      <c r="C56" s="77" t="s">
        <v>102</v>
      </c>
      <c r="D56" s="51" t="s">
        <v>50</v>
      </c>
      <c r="E56" s="51" t="s">
        <v>106</v>
      </c>
      <c r="F56" s="51" t="s">
        <v>18</v>
      </c>
      <c r="G56" s="52">
        <v>5</v>
      </c>
      <c r="H56" s="53">
        <f>WORKDAY(I54,1)</f>
        <v>46050</v>
      </c>
      <c r="I56" s="53">
        <f t="shared" si="5"/>
        <v>46057</v>
      </c>
      <c r="J56" s="54">
        <f t="shared" si="10"/>
        <v>5</v>
      </c>
      <c r="K56" s="55" t="s">
        <v>22</v>
      </c>
    </row>
    <row r="57" spans="1:11">
      <c r="A57" s="51" t="s">
        <v>107</v>
      </c>
      <c r="B57" s="81" t="s">
        <v>84</v>
      </c>
      <c r="C57" s="77" t="s">
        <v>102</v>
      </c>
      <c r="D57" s="51" t="s">
        <v>278</v>
      </c>
      <c r="E57" s="51" t="s">
        <v>108</v>
      </c>
      <c r="F57" s="51" t="s">
        <v>279</v>
      </c>
      <c r="G57" s="52">
        <v>2</v>
      </c>
      <c r="H57" s="53">
        <f t="shared" si="11"/>
        <v>46058</v>
      </c>
      <c r="I57" s="53">
        <f t="shared" si="5"/>
        <v>46062</v>
      </c>
      <c r="J57" s="86">
        <f>G57/$N$5</f>
        <v>2</v>
      </c>
      <c r="K57" s="55" t="s">
        <v>22</v>
      </c>
    </row>
    <row r="58" spans="1:11">
      <c r="A58" s="51" t="s">
        <v>107</v>
      </c>
      <c r="B58" s="81" t="s">
        <v>84</v>
      </c>
      <c r="C58" s="77" t="s">
        <v>109</v>
      </c>
      <c r="D58" s="51" t="s">
        <v>46</v>
      </c>
      <c r="E58" s="51" t="s">
        <v>110</v>
      </c>
      <c r="F58" s="51" t="s">
        <v>276</v>
      </c>
      <c r="G58" s="52">
        <v>2</v>
      </c>
      <c r="H58" s="53">
        <f>WORKDAY(I54,1)</f>
        <v>46050</v>
      </c>
      <c r="I58" s="53">
        <f t="shared" si="5"/>
        <v>46052</v>
      </c>
      <c r="J58" s="54">
        <f t="shared" si="10"/>
        <v>2</v>
      </c>
      <c r="K58" s="55" t="s">
        <v>22</v>
      </c>
    </row>
    <row r="59" spans="1:11">
      <c r="A59" s="51" t="s">
        <v>107</v>
      </c>
      <c r="B59" s="81" t="s">
        <v>84</v>
      </c>
      <c r="C59" s="77" t="s">
        <v>109</v>
      </c>
      <c r="D59" s="51" t="s">
        <v>46</v>
      </c>
      <c r="E59" s="51" t="s">
        <v>111</v>
      </c>
      <c r="F59" s="51" t="s">
        <v>276</v>
      </c>
      <c r="G59" s="52">
        <v>2</v>
      </c>
      <c r="H59" s="53">
        <f t="shared" si="11"/>
        <v>46055</v>
      </c>
      <c r="I59" s="53">
        <f t="shared" si="5"/>
        <v>46057</v>
      </c>
      <c r="J59" s="54">
        <f t="shared" si="10"/>
        <v>2</v>
      </c>
      <c r="K59" s="55" t="s">
        <v>22</v>
      </c>
    </row>
    <row r="60" spans="1:11">
      <c r="A60" s="51" t="s">
        <v>107</v>
      </c>
      <c r="B60" s="81" t="s">
        <v>84</v>
      </c>
      <c r="C60" s="77" t="s">
        <v>109</v>
      </c>
      <c r="D60" s="51" t="s">
        <v>50</v>
      </c>
      <c r="E60" s="51" t="s">
        <v>112</v>
      </c>
      <c r="F60" s="51" t="s">
        <v>62</v>
      </c>
      <c r="G60" s="52">
        <v>5</v>
      </c>
      <c r="H60" s="53">
        <f t="shared" si="11"/>
        <v>46058</v>
      </c>
      <c r="I60" s="53">
        <f t="shared" si="5"/>
        <v>46065</v>
      </c>
      <c r="J60" s="54">
        <f>G60/$N$8</f>
        <v>5</v>
      </c>
      <c r="K60" s="55" t="s">
        <v>22</v>
      </c>
    </row>
    <row r="61" spans="1:11">
      <c r="A61" s="51" t="s">
        <v>113</v>
      </c>
      <c r="B61" s="81" t="s">
        <v>84</v>
      </c>
      <c r="C61" s="77" t="s">
        <v>109</v>
      </c>
      <c r="D61" s="51" t="s">
        <v>50</v>
      </c>
      <c r="E61" s="51" t="s">
        <v>114</v>
      </c>
      <c r="F61" s="51" t="s">
        <v>18</v>
      </c>
      <c r="G61" s="52">
        <v>5</v>
      </c>
      <c r="H61" s="53">
        <f>WORKDAY(I59,1)</f>
        <v>46058</v>
      </c>
      <c r="I61" s="53">
        <f t="shared" si="5"/>
        <v>46065</v>
      </c>
      <c r="J61" s="54">
        <f t="shared" si="10"/>
        <v>5</v>
      </c>
      <c r="K61" s="55" t="s">
        <v>22</v>
      </c>
    </row>
    <row r="62" spans="1:11">
      <c r="A62" s="51" t="s">
        <v>115</v>
      </c>
      <c r="B62" s="81" t="s">
        <v>84</v>
      </c>
      <c r="C62" s="77" t="s">
        <v>109</v>
      </c>
      <c r="D62" s="51" t="s">
        <v>278</v>
      </c>
      <c r="E62" s="51" t="s">
        <v>116</v>
      </c>
      <c r="F62" s="51" t="s">
        <v>279</v>
      </c>
      <c r="G62" s="52">
        <v>2</v>
      </c>
      <c r="H62" s="53">
        <f t="shared" si="11"/>
        <v>46066</v>
      </c>
      <c r="I62" s="53">
        <f t="shared" si="5"/>
        <v>46070</v>
      </c>
      <c r="J62" s="86">
        <f>G62/$N$5</f>
        <v>2</v>
      </c>
      <c r="K62" s="55" t="s">
        <v>22</v>
      </c>
    </row>
    <row r="63" spans="1:11">
      <c r="A63" s="51" t="s">
        <v>115</v>
      </c>
      <c r="B63" s="81" t="s">
        <v>84</v>
      </c>
      <c r="C63" s="77" t="s">
        <v>117</v>
      </c>
      <c r="D63" s="51" t="s">
        <v>46</v>
      </c>
      <c r="E63" s="51" t="s">
        <v>118</v>
      </c>
      <c r="F63" s="51" t="s">
        <v>276</v>
      </c>
      <c r="G63" s="52">
        <v>1</v>
      </c>
      <c r="H63" s="53">
        <f>WORKDAY(I59,1)</f>
        <v>46058</v>
      </c>
      <c r="I63" s="53">
        <f t="shared" si="5"/>
        <v>46059</v>
      </c>
      <c r="J63" s="54">
        <f t="shared" si="10"/>
        <v>1</v>
      </c>
      <c r="K63" s="55" t="s">
        <v>22</v>
      </c>
    </row>
    <row r="64" spans="1:11">
      <c r="A64" s="51" t="s">
        <v>115</v>
      </c>
      <c r="B64" s="81" t="s">
        <v>84</v>
      </c>
      <c r="C64" s="77" t="s">
        <v>117</v>
      </c>
      <c r="D64" s="51" t="s">
        <v>46</v>
      </c>
      <c r="E64" s="51" t="s">
        <v>119</v>
      </c>
      <c r="F64" s="51" t="s">
        <v>276</v>
      </c>
      <c r="G64" s="52">
        <v>2</v>
      </c>
      <c r="H64" s="53">
        <f t="shared" si="11"/>
        <v>46062</v>
      </c>
      <c r="I64" s="53">
        <f t="shared" si="5"/>
        <v>46064</v>
      </c>
      <c r="J64" s="54">
        <f t="shared" si="10"/>
        <v>2</v>
      </c>
      <c r="K64" s="55" t="s">
        <v>22</v>
      </c>
    </row>
    <row r="65" spans="1:11">
      <c r="A65" s="51" t="s">
        <v>115</v>
      </c>
      <c r="B65" s="81" t="s">
        <v>84</v>
      </c>
      <c r="C65" s="77" t="s">
        <v>117</v>
      </c>
      <c r="D65" s="51" t="s">
        <v>50</v>
      </c>
      <c r="E65" s="51" t="s">
        <v>120</v>
      </c>
      <c r="F65" s="51" t="s">
        <v>62</v>
      </c>
      <c r="G65" s="52">
        <v>2</v>
      </c>
      <c r="H65" s="53">
        <f t="shared" si="11"/>
        <v>46065</v>
      </c>
      <c r="I65" s="53">
        <f t="shared" si="5"/>
        <v>46069</v>
      </c>
      <c r="J65" s="54">
        <f>G65/$N$8</f>
        <v>2</v>
      </c>
      <c r="K65" s="55" t="s">
        <v>22</v>
      </c>
    </row>
    <row r="66" spans="1:11">
      <c r="A66" s="51" t="s">
        <v>121</v>
      </c>
      <c r="B66" s="81" t="s">
        <v>84</v>
      </c>
      <c r="C66" s="77" t="s">
        <v>117</v>
      </c>
      <c r="D66" s="51" t="s">
        <v>50</v>
      </c>
      <c r="E66" s="51" t="s">
        <v>122</v>
      </c>
      <c r="F66" s="51" t="s">
        <v>18</v>
      </c>
      <c r="G66" s="52">
        <v>2</v>
      </c>
      <c r="H66" s="53">
        <f>WORKDAY(I64,1)</f>
        <v>46065</v>
      </c>
      <c r="I66" s="53">
        <f t="shared" si="5"/>
        <v>46069</v>
      </c>
      <c r="J66" s="54">
        <f t="shared" si="10"/>
        <v>2</v>
      </c>
      <c r="K66" s="55" t="s">
        <v>22</v>
      </c>
    </row>
    <row r="67" spans="1:11">
      <c r="A67" s="51" t="s">
        <v>121</v>
      </c>
      <c r="B67" s="81" t="s">
        <v>84</v>
      </c>
      <c r="C67" s="77" t="s">
        <v>117</v>
      </c>
      <c r="D67" s="51" t="s">
        <v>278</v>
      </c>
      <c r="E67" s="51" t="s">
        <v>123</v>
      </c>
      <c r="F67" s="51" t="s">
        <v>279</v>
      </c>
      <c r="G67" s="52">
        <v>2</v>
      </c>
      <c r="H67" s="53">
        <f t="shared" si="11"/>
        <v>46070</v>
      </c>
      <c r="I67" s="53">
        <f t="shared" si="5"/>
        <v>46072</v>
      </c>
      <c r="J67" s="86">
        <f>G67/$N$5</f>
        <v>2</v>
      </c>
      <c r="K67" s="55" t="s">
        <v>22</v>
      </c>
    </row>
    <row r="68" spans="1:11">
      <c r="A68" s="51" t="s">
        <v>121</v>
      </c>
      <c r="B68" s="81" t="s">
        <v>84</v>
      </c>
      <c r="C68" s="77" t="s">
        <v>124</v>
      </c>
      <c r="D68" s="51" t="s">
        <v>46</v>
      </c>
      <c r="E68" s="51" t="s">
        <v>118</v>
      </c>
      <c r="F68" s="51" t="s">
        <v>276</v>
      </c>
      <c r="G68" s="52">
        <v>1</v>
      </c>
      <c r="H68" s="53">
        <f>WORKDAY(I64,1)</f>
        <v>46065</v>
      </c>
      <c r="I68" s="53">
        <f t="shared" si="5"/>
        <v>46066</v>
      </c>
      <c r="J68" s="54">
        <f t="shared" si="10"/>
        <v>1</v>
      </c>
      <c r="K68" s="55" t="s">
        <v>22</v>
      </c>
    </row>
    <row r="69" spans="1:11">
      <c r="A69" s="51" t="s">
        <v>125</v>
      </c>
      <c r="B69" s="81" t="s">
        <v>84</v>
      </c>
      <c r="C69" s="77" t="s">
        <v>124</v>
      </c>
      <c r="D69" s="51" t="s">
        <v>46</v>
      </c>
      <c r="E69" s="51" t="s">
        <v>119</v>
      </c>
      <c r="F69" s="51" t="s">
        <v>276</v>
      </c>
      <c r="G69" s="52">
        <v>2</v>
      </c>
      <c r="H69" s="53">
        <f t="shared" si="11"/>
        <v>46069</v>
      </c>
      <c r="I69" s="53">
        <f t="shared" si="5"/>
        <v>46071</v>
      </c>
      <c r="J69" s="54">
        <f t="shared" si="10"/>
        <v>2</v>
      </c>
      <c r="K69" s="55" t="s">
        <v>22</v>
      </c>
    </row>
    <row r="70" spans="1:11">
      <c r="A70" s="51" t="s">
        <v>125</v>
      </c>
      <c r="B70" s="81" t="s">
        <v>84</v>
      </c>
      <c r="C70" s="77" t="s">
        <v>124</v>
      </c>
      <c r="D70" s="51" t="s">
        <v>50</v>
      </c>
      <c r="E70" s="51" t="s">
        <v>120</v>
      </c>
      <c r="F70" s="51" t="s">
        <v>62</v>
      </c>
      <c r="G70" s="52">
        <v>2</v>
      </c>
      <c r="H70" s="53">
        <f t="shared" si="11"/>
        <v>46072</v>
      </c>
      <c r="I70" s="53">
        <f t="shared" si="5"/>
        <v>46076</v>
      </c>
      <c r="J70" s="54">
        <f>G70/$N$8</f>
        <v>2</v>
      </c>
      <c r="K70" s="55" t="s">
        <v>22</v>
      </c>
    </row>
    <row r="71" spans="1:11">
      <c r="A71" s="51" t="s">
        <v>125</v>
      </c>
      <c r="B71" s="81" t="s">
        <v>84</v>
      </c>
      <c r="C71" s="77" t="s">
        <v>124</v>
      </c>
      <c r="D71" s="51" t="s">
        <v>50</v>
      </c>
      <c r="E71" s="51" t="s">
        <v>122</v>
      </c>
      <c r="F71" s="51" t="s">
        <v>18</v>
      </c>
      <c r="G71" s="52">
        <v>2</v>
      </c>
      <c r="H71" s="53">
        <f>WORKDAY(I69,1)</f>
        <v>46072</v>
      </c>
      <c r="I71" s="53">
        <f t="shared" si="5"/>
        <v>46076</v>
      </c>
      <c r="J71" s="54">
        <f t="shared" si="10"/>
        <v>2</v>
      </c>
      <c r="K71" s="55" t="s">
        <v>22</v>
      </c>
    </row>
    <row r="72" spans="1:11">
      <c r="A72" s="51" t="s">
        <v>125</v>
      </c>
      <c r="B72" s="81" t="s">
        <v>84</v>
      </c>
      <c r="C72" s="77" t="s">
        <v>124</v>
      </c>
      <c r="D72" s="51" t="s">
        <v>278</v>
      </c>
      <c r="E72" s="51" t="s">
        <v>123</v>
      </c>
      <c r="F72" s="51" t="s">
        <v>279</v>
      </c>
      <c r="G72" s="52">
        <v>2</v>
      </c>
      <c r="H72" s="53">
        <f t="shared" si="11"/>
        <v>46077</v>
      </c>
      <c r="I72" s="53">
        <f t="shared" si="5"/>
        <v>46079</v>
      </c>
      <c r="J72" s="86">
        <f>G72/$N$5</f>
        <v>2</v>
      </c>
      <c r="K72" s="55" t="s">
        <v>22</v>
      </c>
    </row>
    <row r="73" spans="1:11">
      <c r="A73" s="51" t="s">
        <v>73</v>
      </c>
      <c r="B73" s="81" t="s">
        <v>84</v>
      </c>
      <c r="C73" s="51" t="s">
        <v>126</v>
      </c>
      <c r="D73" s="51" t="s">
        <v>46</v>
      </c>
      <c r="E73" s="51" t="s">
        <v>127</v>
      </c>
      <c r="F73" s="51" t="s">
        <v>276</v>
      </c>
      <c r="G73" s="52">
        <v>1</v>
      </c>
      <c r="H73" s="53">
        <f>WORKDAY(I69,1)</f>
        <v>46072</v>
      </c>
      <c r="I73" s="53">
        <f t="shared" si="5"/>
        <v>46073</v>
      </c>
      <c r="J73" s="54">
        <f>G73/$N$6</f>
        <v>1</v>
      </c>
      <c r="K73" s="55" t="s">
        <v>22</v>
      </c>
    </row>
    <row r="74" spans="1:11">
      <c r="A74" s="51" t="s">
        <v>80</v>
      </c>
      <c r="B74" s="81" t="s">
        <v>84</v>
      </c>
      <c r="C74" s="51" t="s">
        <v>126</v>
      </c>
      <c r="D74" s="51" t="s">
        <v>46</v>
      </c>
      <c r="E74" s="51" t="s">
        <v>128</v>
      </c>
      <c r="F74" s="51" t="s">
        <v>276</v>
      </c>
      <c r="G74" s="52">
        <v>1</v>
      </c>
      <c r="H74" s="53">
        <f t="shared" ref="H74:H75" si="12">WORKDAY(I73,1)</f>
        <v>46076</v>
      </c>
      <c r="I74" s="53">
        <f t="shared" si="5"/>
        <v>46077</v>
      </c>
      <c r="J74" s="54">
        <f t="shared" ref="J74" si="13">G74/$N$6</f>
        <v>1</v>
      </c>
      <c r="K74" s="55" t="s">
        <v>22</v>
      </c>
    </row>
    <row r="75" spans="1:11">
      <c r="A75" s="51" t="s">
        <v>80</v>
      </c>
      <c r="B75" s="81" t="s">
        <v>84</v>
      </c>
      <c r="C75" s="51" t="s">
        <v>126</v>
      </c>
      <c r="D75" s="51" t="s">
        <v>50</v>
      </c>
      <c r="E75" s="51" t="s">
        <v>129</v>
      </c>
      <c r="F75" s="51" t="s">
        <v>62</v>
      </c>
      <c r="G75" s="52">
        <v>1</v>
      </c>
      <c r="H75" s="53">
        <f t="shared" si="12"/>
        <v>46078</v>
      </c>
      <c r="I75" s="53">
        <f t="shared" si="5"/>
        <v>46079</v>
      </c>
      <c r="J75" s="54">
        <f>G75/$N$8</f>
        <v>1</v>
      </c>
      <c r="K75" s="55" t="s">
        <v>22</v>
      </c>
    </row>
    <row r="76" spans="1:11">
      <c r="A76" s="51" t="s">
        <v>80</v>
      </c>
      <c r="B76" s="81" t="s">
        <v>84</v>
      </c>
      <c r="C76" s="51" t="s">
        <v>126</v>
      </c>
      <c r="D76" s="51" t="s">
        <v>50</v>
      </c>
      <c r="E76" s="51" t="s">
        <v>130</v>
      </c>
      <c r="F76" s="51" t="s">
        <v>86</v>
      </c>
      <c r="G76" s="52">
        <v>2</v>
      </c>
      <c r="H76" s="53">
        <f>WORKDAY(I74,1)</f>
        <v>46078</v>
      </c>
      <c r="I76" s="53">
        <f t="shared" si="5"/>
        <v>46080</v>
      </c>
      <c r="J76" s="54">
        <f>G76/$N$7</f>
        <v>2</v>
      </c>
      <c r="K76" s="55" t="s">
        <v>22</v>
      </c>
    </row>
    <row r="77" spans="1:11">
      <c r="A77" s="51" t="s">
        <v>97</v>
      </c>
      <c r="B77" s="81" t="s">
        <v>84</v>
      </c>
      <c r="C77" s="51" t="s">
        <v>126</v>
      </c>
      <c r="D77" s="51" t="s">
        <v>278</v>
      </c>
      <c r="E77" s="51" t="s">
        <v>131</v>
      </c>
      <c r="F77" s="51" t="s">
        <v>279</v>
      </c>
      <c r="G77" s="52">
        <v>1</v>
      </c>
      <c r="H77" s="53">
        <v>46076</v>
      </c>
      <c r="I77" s="53">
        <f t="shared" si="5"/>
        <v>46077</v>
      </c>
      <c r="J77" s="86">
        <f>G77/$N$5</f>
        <v>1</v>
      </c>
      <c r="K77" s="55" t="s">
        <v>22</v>
      </c>
    </row>
    <row r="78" spans="1:11">
      <c r="A78" s="51" t="s">
        <v>97</v>
      </c>
      <c r="B78" s="81" t="s">
        <v>84</v>
      </c>
      <c r="C78" s="51" t="s">
        <v>132</v>
      </c>
      <c r="D78" s="51" t="s">
        <v>46</v>
      </c>
      <c r="E78" s="51" t="s">
        <v>133</v>
      </c>
      <c r="F78" s="51" t="s">
        <v>276</v>
      </c>
      <c r="G78" s="52">
        <v>1</v>
      </c>
      <c r="H78" s="53">
        <f>WORKDAY(I74,1)</f>
        <v>46078</v>
      </c>
      <c r="I78" s="53">
        <f t="shared" si="5"/>
        <v>46079</v>
      </c>
      <c r="J78" s="54">
        <f t="shared" ref="J78:J79" si="14">G78/$N$6</f>
        <v>1</v>
      </c>
      <c r="K78" s="102" t="s">
        <v>22</v>
      </c>
    </row>
    <row r="79" spans="1:11">
      <c r="A79" s="51" t="s">
        <v>100</v>
      </c>
      <c r="B79" s="81" t="s">
        <v>84</v>
      </c>
      <c r="C79" s="51" t="s">
        <v>132</v>
      </c>
      <c r="D79" s="51" t="s">
        <v>46</v>
      </c>
      <c r="E79" s="51" t="s">
        <v>134</v>
      </c>
      <c r="F79" s="51" t="s">
        <v>276</v>
      </c>
      <c r="G79" s="52">
        <v>1</v>
      </c>
      <c r="H79" s="53">
        <f t="shared" ref="H79" si="15">WORKDAY(I78,1)</f>
        <v>46080</v>
      </c>
      <c r="I79" s="53">
        <f t="shared" si="5"/>
        <v>46083</v>
      </c>
      <c r="J79" s="54">
        <f t="shared" si="14"/>
        <v>1</v>
      </c>
      <c r="K79" s="102" t="s">
        <v>22</v>
      </c>
    </row>
    <row r="80" spans="1:11">
      <c r="A80" s="51" t="s">
        <v>100</v>
      </c>
      <c r="B80" s="81" t="s">
        <v>84</v>
      </c>
      <c r="C80" s="51" t="s">
        <v>132</v>
      </c>
      <c r="D80" s="51" t="s">
        <v>50</v>
      </c>
      <c r="E80" s="51" t="s">
        <v>135</v>
      </c>
      <c r="F80" s="51" t="s">
        <v>62</v>
      </c>
      <c r="G80" s="52">
        <v>1</v>
      </c>
      <c r="H80" s="53">
        <f>WORKDAY(I79,1)</f>
        <v>46084</v>
      </c>
      <c r="I80" s="53">
        <f t="shared" si="5"/>
        <v>46085</v>
      </c>
      <c r="J80" s="54">
        <f>G80/$N$8</f>
        <v>1</v>
      </c>
      <c r="K80" s="102" t="s">
        <v>22</v>
      </c>
    </row>
    <row r="81" spans="1:11">
      <c r="A81" s="51" t="s">
        <v>100</v>
      </c>
      <c r="B81" s="81" t="s">
        <v>84</v>
      </c>
      <c r="C81" s="51" t="s">
        <v>132</v>
      </c>
      <c r="D81" s="51" t="s">
        <v>50</v>
      </c>
      <c r="E81" s="51" t="s">
        <v>136</v>
      </c>
      <c r="F81" s="51" t="s">
        <v>86</v>
      </c>
      <c r="G81" s="52">
        <v>2</v>
      </c>
      <c r="H81" s="53">
        <f>WORKDAY(I79,1)</f>
        <v>46084</v>
      </c>
      <c r="I81" s="53">
        <f t="shared" si="5"/>
        <v>46086</v>
      </c>
      <c r="J81" s="54">
        <f>G81/$N$7</f>
        <v>2</v>
      </c>
      <c r="K81" s="102" t="s">
        <v>22</v>
      </c>
    </row>
    <row r="82" spans="1:11">
      <c r="A82" s="51" t="s">
        <v>107</v>
      </c>
      <c r="B82" s="81" t="s">
        <v>84</v>
      </c>
      <c r="C82" s="51" t="s">
        <v>132</v>
      </c>
      <c r="D82" s="51" t="s">
        <v>278</v>
      </c>
      <c r="E82" s="51" t="s">
        <v>137</v>
      </c>
      <c r="F82" s="51" t="s">
        <v>279</v>
      </c>
      <c r="G82" s="52">
        <v>1</v>
      </c>
      <c r="H82" s="53">
        <f>WORKDAY(I81,1)</f>
        <v>46087</v>
      </c>
      <c r="I82" s="53">
        <f t="shared" si="5"/>
        <v>46090</v>
      </c>
      <c r="J82" s="86">
        <f>G82/$N$5</f>
        <v>1</v>
      </c>
      <c r="K82" s="102" t="s">
        <v>22</v>
      </c>
    </row>
    <row r="83" spans="1:11">
      <c r="A83" s="51" t="s">
        <v>107</v>
      </c>
      <c r="B83" s="81" t="s">
        <v>84</v>
      </c>
      <c r="C83" s="51" t="s">
        <v>138</v>
      </c>
      <c r="D83" s="51" t="s">
        <v>46</v>
      </c>
      <c r="E83" s="51" t="s">
        <v>139</v>
      </c>
      <c r="F83" s="51" t="s">
        <v>276</v>
      </c>
      <c r="G83" s="52">
        <v>2</v>
      </c>
      <c r="H83" s="53">
        <f>WORKDAY(I79,1)</f>
        <v>46084</v>
      </c>
      <c r="I83" s="53">
        <f>WORKDAY(H83,J83)</f>
        <v>46086</v>
      </c>
      <c r="J83" s="54">
        <f>G83/$N$6</f>
        <v>2</v>
      </c>
      <c r="K83" s="102" t="s">
        <v>22</v>
      </c>
    </row>
    <row r="84" spans="1:11">
      <c r="A84" s="51" t="s">
        <v>113</v>
      </c>
      <c r="B84" s="81" t="s">
        <v>84</v>
      </c>
      <c r="C84" s="51" t="s">
        <v>138</v>
      </c>
      <c r="D84" s="51" t="s">
        <v>46</v>
      </c>
      <c r="E84" s="51" t="s">
        <v>140</v>
      </c>
      <c r="F84" s="51" t="s">
        <v>276</v>
      </c>
      <c r="G84" s="52">
        <v>2</v>
      </c>
      <c r="H84" s="53">
        <f t="shared" ref="H84:H87" si="16">WORKDAY(I83,1)</f>
        <v>46087</v>
      </c>
      <c r="I84" s="53">
        <f t="shared" ref="I84:I107" si="17">WORKDAY(H84,J84)</f>
        <v>46091</v>
      </c>
      <c r="J84" s="54">
        <f t="shared" ref="J84" si="18">G84/$N$6</f>
        <v>2</v>
      </c>
      <c r="K84" s="102" t="s">
        <v>22</v>
      </c>
    </row>
    <row r="85" spans="1:11">
      <c r="A85" s="51" t="s">
        <v>113</v>
      </c>
      <c r="B85" s="81" t="s">
        <v>84</v>
      </c>
      <c r="C85" s="51" t="s">
        <v>138</v>
      </c>
      <c r="D85" s="51" t="s">
        <v>50</v>
      </c>
      <c r="E85" s="51" t="s">
        <v>141</v>
      </c>
      <c r="F85" s="51" t="s">
        <v>62</v>
      </c>
      <c r="G85" s="52">
        <v>3</v>
      </c>
      <c r="H85" s="53">
        <f t="shared" si="16"/>
        <v>46092</v>
      </c>
      <c r="I85" s="53">
        <f t="shared" si="17"/>
        <v>46097</v>
      </c>
      <c r="J85" s="54">
        <f>G85/$N$8</f>
        <v>3</v>
      </c>
      <c r="K85" s="102" t="s">
        <v>22</v>
      </c>
    </row>
    <row r="86" spans="1:11">
      <c r="A86" s="51" t="s">
        <v>115</v>
      </c>
      <c r="B86" s="81" t="s">
        <v>84</v>
      </c>
      <c r="C86" s="51" t="s">
        <v>138</v>
      </c>
      <c r="D86" s="51" t="s">
        <v>50</v>
      </c>
      <c r="E86" s="51" t="s">
        <v>142</v>
      </c>
      <c r="F86" s="51" t="s">
        <v>86</v>
      </c>
      <c r="G86" s="52">
        <v>5</v>
      </c>
      <c r="H86" s="53">
        <f>WORKDAY(I84,1)</f>
        <v>46092</v>
      </c>
      <c r="I86" s="53">
        <f t="shared" si="17"/>
        <v>46099</v>
      </c>
      <c r="J86" s="54">
        <f>G86/$N$7</f>
        <v>5</v>
      </c>
      <c r="K86" s="102" t="s">
        <v>22</v>
      </c>
    </row>
    <row r="87" spans="1:11">
      <c r="A87" s="51" t="s">
        <v>121</v>
      </c>
      <c r="B87" s="81" t="s">
        <v>84</v>
      </c>
      <c r="C87" s="51" t="s">
        <v>138</v>
      </c>
      <c r="D87" s="51" t="s">
        <v>278</v>
      </c>
      <c r="E87" s="51" t="s">
        <v>143</v>
      </c>
      <c r="F87" s="51" t="s">
        <v>279</v>
      </c>
      <c r="G87" s="52">
        <v>1</v>
      </c>
      <c r="H87" s="53">
        <f t="shared" si="16"/>
        <v>46100</v>
      </c>
      <c r="I87" s="53">
        <f t="shared" si="17"/>
        <v>46101</v>
      </c>
      <c r="J87" s="86">
        <f>G87/$N$5</f>
        <v>1</v>
      </c>
      <c r="K87" s="102" t="s">
        <v>22</v>
      </c>
    </row>
    <row r="88" spans="1:11">
      <c r="A88" s="51" t="s">
        <v>121</v>
      </c>
      <c r="B88" s="81" t="s">
        <v>84</v>
      </c>
      <c r="C88" s="51" t="s">
        <v>144</v>
      </c>
      <c r="D88" s="51" t="s">
        <v>46</v>
      </c>
      <c r="E88" s="51" t="s">
        <v>145</v>
      </c>
      <c r="F88" s="51" t="s">
        <v>276</v>
      </c>
      <c r="G88" s="52">
        <v>1</v>
      </c>
      <c r="H88" s="53">
        <f>WORKDAY(I84,1)</f>
        <v>46092</v>
      </c>
      <c r="I88" s="53">
        <f t="shared" si="17"/>
        <v>46093</v>
      </c>
      <c r="J88" s="54">
        <f>G88/$N$6</f>
        <v>1</v>
      </c>
      <c r="K88" s="102" t="s">
        <v>22</v>
      </c>
    </row>
    <row r="89" spans="1:11">
      <c r="A89" s="51" t="s">
        <v>121</v>
      </c>
      <c r="B89" s="81" t="s">
        <v>84</v>
      </c>
      <c r="C89" s="51" t="s">
        <v>144</v>
      </c>
      <c r="D89" s="51" t="s">
        <v>46</v>
      </c>
      <c r="E89" s="51" t="s">
        <v>146</v>
      </c>
      <c r="F89" s="51" t="s">
        <v>276</v>
      </c>
      <c r="G89" s="52">
        <v>2</v>
      </c>
      <c r="H89" s="53">
        <f>WORKDAY(I88,1)</f>
        <v>46094</v>
      </c>
      <c r="I89" s="53">
        <f t="shared" si="17"/>
        <v>46098</v>
      </c>
      <c r="J89" s="54">
        <f t="shared" ref="J89:J104" si="19">G89/$N$6</f>
        <v>2</v>
      </c>
      <c r="K89" s="102" t="s">
        <v>22</v>
      </c>
    </row>
    <row r="90" spans="1:11">
      <c r="A90" s="51" t="s">
        <v>125</v>
      </c>
      <c r="B90" s="81" t="s">
        <v>84</v>
      </c>
      <c r="C90" s="51" t="s">
        <v>144</v>
      </c>
      <c r="D90" s="51" t="s">
        <v>50</v>
      </c>
      <c r="E90" s="51" t="s">
        <v>147</v>
      </c>
      <c r="F90" s="51" t="s">
        <v>62</v>
      </c>
      <c r="G90" s="52">
        <v>2</v>
      </c>
      <c r="H90" s="53">
        <f t="shared" ref="H90:H97" si="20">WORKDAY(I89,1)</f>
        <v>46099</v>
      </c>
      <c r="I90" s="53">
        <f t="shared" si="17"/>
        <v>46101</v>
      </c>
      <c r="J90" s="54">
        <f>G90/$N$8</f>
        <v>2</v>
      </c>
      <c r="K90" s="102" t="s">
        <v>22</v>
      </c>
    </row>
    <row r="91" spans="1:11">
      <c r="A91" s="51" t="s">
        <v>125</v>
      </c>
      <c r="B91" s="81" t="s">
        <v>84</v>
      </c>
      <c r="C91" s="51" t="s">
        <v>144</v>
      </c>
      <c r="D91" s="51" t="s">
        <v>50</v>
      </c>
      <c r="E91" s="51" t="s">
        <v>148</v>
      </c>
      <c r="F91" s="51" t="s">
        <v>86</v>
      </c>
      <c r="G91" s="52">
        <v>4</v>
      </c>
      <c r="H91" s="53">
        <v>46100</v>
      </c>
      <c r="I91" s="53">
        <f t="shared" si="17"/>
        <v>46106</v>
      </c>
      <c r="J91" s="54">
        <f>G91/$N$7</f>
        <v>4</v>
      </c>
      <c r="K91" s="102" t="s">
        <v>22</v>
      </c>
    </row>
    <row r="92" spans="1:11">
      <c r="A92" s="51" t="s">
        <v>149</v>
      </c>
      <c r="B92" s="81" t="s">
        <v>84</v>
      </c>
      <c r="C92" s="51" t="s">
        <v>144</v>
      </c>
      <c r="D92" s="51" t="s">
        <v>278</v>
      </c>
      <c r="E92" s="51" t="s">
        <v>150</v>
      </c>
      <c r="F92" s="51" t="s">
        <v>279</v>
      </c>
      <c r="G92" s="52">
        <v>2</v>
      </c>
      <c r="H92" s="53">
        <f t="shared" si="20"/>
        <v>46107</v>
      </c>
      <c r="I92" s="53">
        <f t="shared" si="17"/>
        <v>46111</v>
      </c>
      <c r="J92" s="86">
        <f>G92/$N$5</f>
        <v>2</v>
      </c>
      <c r="K92" s="102" t="s">
        <v>22</v>
      </c>
    </row>
    <row r="93" spans="1:11">
      <c r="A93" s="51" t="s">
        <v>151</v>
      </c>
      <c r="B93" s="81" t="s">
        <v>84</v>
      </c>
      <c r="C93" s="51" t="s">
        <v>152</v>
      </c>
      <c r="D93" s="51" t="s">
        <v>46</v>
      </c>
      <c r="E93" s="51" t="s">
        <v>153</v>
      </c>
      <c r="F93" s="51" t="s">
        <v>276</v>
      </c>
      <c r="G93" s="52">
        <v>0.5</v>
      </c>
      <c r="H93" s="53">
        <f>WORKDAY(I89,1)</f>
        <v>46099</v>
      </c>
      <c r="I93" s="53">
        <f t="shared" si="17"/>
        <v>46099</v>
      </c>
      <c r="J93" s="54">
        <f t="shared" si="19"/>
        <v>0.5</v>
      </c>
      <c r="K93" s="102" t="s">
        <v>22</v>
      </c>
    </row>
    <row r="94" spans="1:11">
      <c r="A94" s="51" t="s">
        <v>151</v>
      </c>
      <c r="B94" s="81" t="s">
        <v>84</v>
      </c>
      <c r="C94" s="51" t="s">
        <v>152</v>
      </c>
      <c r="D94" s="51" t="s">
        <v>46</v>
      </c>
      <c r="E94" s="51" t="s">
        <v>154</v>
      </c>
      <c r="F94" s="51" t="s">
        <v>276</v>
      </c>
      <c r="G94" s="52">
        <v>0.5</v>
      </c>
      <c r="H94" s="53">
        <f t="shared" si="20"/>
        <v>46100</v>
      </c>
      <c r="I94" s="53">
        <f t="shared" si="17"/>
        <v>46100</v>
      </c>
      <c r="J94" s="54">
        <f t="shared" si="19"/>
        <v>0.5</v>
      </c>
      <c r="K94" s="102" t="s">
        <v>22</v>
      </c>
    </row>
    <row r="95" spans="1:11">
      <c r="A95" s="51" t="s">
        <v>151</v>
      </c>
      <c r="B95" s="81" t="s">
        <v>84</v>
      </c>
      <c r="C95" s="51" t="s">
        <v>152</v>
      </c>
      <c r="D95" s="51" t="s">
        <v>50</v>
      </c>
      <c r="E95" s="51" t="s">
        <v>155</v>
      </c>
      <c r="F95" s="51" t="s">
        <v>62</v>
      </c>
      <c r="G95" s="52">
        <v>1.5</v>
      </c>
      <c r="H95" s="53">
        <v>46102</v>
      </c>
      <c r="I95" s="53">
        <f t="shared" si="17"/>
        <v>46104</v>
      </c>
      <c r="J95" s="54">
        <f>G95/$N$8</f>
        <v>1.5</v>
      </c>
      <c r="K95" s="102" t="s">
        <v>22</v>
      </c>
    </row>
    <row r="96" spans="1:11">
      <c r="A96" s="51" t="s">
        <v>156</v>
      </c>
      <c r="B96" s="81" t="s">
        <v>84</v>
      </c>
      <c r="C96" s="51" t="s">
        <v>152</v>
      </c>
      <c r="D96" s="51" t="s">
        <v>50</v>
      </c>
      <c r="E96" s="51" t="s">
        <v>157</v>
      </c>
      <c r="F96" s="51" t="s">
        <v>86</v>
      </c>
      <c r="G96" s="52">
        <v>2.5</v>
      </c>
      <c r="H96" s="53">
        <v>46107</v>
      </c>
      <c r="I96" s="53">
        <f t="shared" si="17"/>
        <v>46111</v>
      </c>
      <c r="J96" s="54">
        <f>G96/$N$7</f>
        <v>2.5</v>
      </c>
      <c r="K96" s="102" t="s">
        <v>22</v>
      </c>
    </row>
    <row r="97" spans="1:11">
      <c r="A97" s="51" t="s">
        <v>156</v>
      </c>
      <c r="B97" s="81" t="s">
        <v>84</v>
      </c>
      <c r="C97" s="51" t="s">
        <v>152</v>
      </c>
      <c r="D97" s="51" t="s">
        <v>278</v>
      </c>
      <c r="E97" s="51" t="s">
        <v>158</v>
      </c>
      <c r="F97" s="51" t="s">
        <v>279</v>
      </c>
      <c r="G97" s="52">
        <v>1</v>
      </c>
      <c r="H97" s="53">
        <f t="shared" si="20"/>
        <v>46112</v>
      </c>
      <c r="I97" s="53">
        <f t="shared" si="17"/>
        <v>46113</v>
      </c>
      <c r="J97" s="86">
        <f>G97/$N$5</f>
        <v>1</v>
      </c>
      <c r="K97" s="102" t="s">
        <v>22</v>
      </c>
    </row>
    <row r="98" spans="1:11">
      <c r="A98" s="51" t="s">
        <v>159</v>
      </c>
      <c r="B98" s="81" t="s">
        <v>84</v>
      </c>
      <c r="C98" s="51" t="s">
        <v>160</v>
      </c>
      <c r="D98" s="51" t="s">
        <v>46</v>
      </c>
      <c r="E98" s="51" t="s">
        <v>161</v>
      </c>
      <c r="F98" s="51" t="s">
        <v>276</v>
      </c>
      <c r="G98" s="52">
        <v>2</v>
      </c>
      <c r="H98" s="53">
        <f>WORKDAY(I94,1)</f>
        <v>46101</v>
      </c>
      <c r="I98" s="53">
        <f t="shared" si="17"/>
        <v>46105</v>
      </c>
      <c r="J98" s="54">
        <f t="shared" si="19"/>
        <v>2</v>
      </c>
      <c r="K98" s="102" t="s">
        <v>22</v>
      </c>
    </row>
    <row r="99" spans="1:11">
      <c r="A99" s="51" t="s">
        <v>159</v>
      </c>
      <c r="B99" s="81" t="s">
        <v>84</v>
      </c>
      <c r="C99" s="51" t="s">
        <v>160</v>
      </c>
      <c r="D99" s="51" t="s">
        <v>46</v>
      </c>
      <c r="E99" s="51" t="s">
        <v>162</v>
      </c>
      <c r="F99" s="51" t="s">
        <v>276</v>
      </c>
      <c r="G99" s="52">
        <v>2</v>
      </c>
      <c r="H99" s="53">
        <f>WORKDAY(I98,1)</f>
        <v>46106</v>
      </c>
      <c r="I99" s="53">
        <f t="shared" si="17"/>
        <v>46108</v>
      </c>
      <c r="J99" s="54">
        <f t="shared" si="19"/>
        <v>2</v>
      </c>
      <c r="K99" s="102" t="s">
        <v>22</v>
      </c>
    </row>
    <row r="100" spans="1:11">
      <c r="A100" s="51" t="s">
        <v>159</v>
      </c>
      <c r="B100" s="81" t="s">
        <v>84</v>
      </c>
      <c r="C100" s="51" t="s">
        <v>160</v>
      </c>
      <c r="D100" s="51" t="s">
        <v>50</v>
      </c>
      <c r="E100" s="51" t="s">
        <v>163</v>
      </c>
      <c r="F100" s="51" t="s">
        <v>62</v>
      </c>
      <c r="G100" s="52">
        <v>2</v>
      </c>
      <c r="H100" s="53">
        <f t="shared" ref="H100:H107" si="21">I99</f>
        <v>46108</v>
      </c>
      <c r="I100" s="53">
        <f t="shared" si="17"/>
        <v>46112</v>
      </c>
      <c r="J100" s="54">
        <f>G100/$N$8</f>
        <v>2</v>
      </c>
      <c r="K100" s="102" t="s">
        <v>22</v>
      </c>
    </row>
    <row r="101" spans="1:11">
      <c r="A101" s="51" t="s">
        <v>164</v>
      </c>
      <c r="B101" s="81" t="s">
        <v>84</v>
      </c>
      <c r="C101" s="51" t="s">
        <v>160</v>
      </c>
      <c r="D101" s="51" t="s">
        <v>50</v>
      </c>
      <c r="E101" s="51" t="s">
        <v>165</v>
      </c>
      <c r="F101" s="51" t="s">
        <v>86</v>
      </c>
      <c r="G101" s="52">
        <v>5</v>
      </c>
      <c r="H101" s="53">
        <f t="shared" si="21"/>
        <v>46112</v>
      </c>
      <c r="I101" s="53">
        <f t="shared" si="17"/>
        <v>46119</v>
      </c>
      <c r="J101" s="54">
        <f>G101/$N$7</f>
        <v>5</v>
      </c>
      <c r="K101" s="102" t="s">
        <v>22</v>
      </c>
    </row>
    <row r="102" spans="1:11">
      <c r="A102" s="51" t="s">
        <v>166</v>
      </c>
      <c r="B102" s="81" t="s">
        <v>84</v>
      </c>
      <c r="C102" s="51" t="s">
        <v>160</v>
      </c>
      <c r="D102" s="51" t="s">
        <v>278</v>
      </c>
      <c r="E102" s="51" t="s">
        <v>167</v>
      </c>
      <c r="F102" s="51" t="s">
        <v>279</v>
      </c>
      <c r="G102" s="52">
        <v>2</v>
      </c>
      <c r="H102" s="53">
        <f t="shared" si="21"/>
        <v>46119</v>
      </c>
      <c r="I102" s="53">
        <f t="shared" si="17"/>
        <v>46121</v>
      </c>
      <c r="J102" s="86">
        <f>G102/$N$5</f>
        <v>2</v>
      </c>
      <c r="K102" s="102" t="s">
        <v>22</v>
      </c>
    </row>
    <row r="103" spans="1:11">
      <c r="A103" s="51" t="s">
        <v>166</v>
      </c>
      <c r="B103" s="81" t="s">
        <v>84</v>
      </c>
      <c r="C103" s="51" t="s">
        <v>168</v>
      </c>
      <c r="D103" s="51" t="s">
        <v>46</v>
      </c>
      <c r="E103" s="51" t="s">
        <v>169</v>
      </c>
      <c r="F103" s="51" t="s">
        <v>276</v>
      </c>
      <c r="G103" s="52">
        <v>0.5</v>
      </c>
      <c r="H103" s="53">
        <f>WORKDAY(I99,1)</f>
        <v>46111</v>
      </c>
      <c r="I103" s="53">
        <f t="shared" si="17"/>
        <v>46111</v>
      </c>
      <c r="J103" s="54">
        <f t="shared" si="19"/>
        <v>0.5</v>
      </c>
      <c r="K103" s="102" t="s">
        <v>22</v>
      </c>
    </row>
    <row r="104" spans="1:11">
      <c r="A104" s="51" t="s">
        <v>166</v>
      </c>
      <c r="B104" s="81" t="s">
        <v>84</v>
      </c>
      <c r="C104" s="51" t="s">
        <v>168</v>
      </c>
      <c r="D104" s="51" t="s">
        <v>46</v>
      </c>
      <c r="E104" s="51" t="s">
        <v>170</v>
      </c>
      <c r="F104" s="51" t="s">
        <v>276</v>
      </c>
      <c r="G104" s="52">
        <v>0.5</v>
      </c>
      <c r="H104" s="53">
        <f>WORKDAY(I103,1)</f>
        <v>46112</v>
      </c>
      <c r="I104" s="53">
        <f t="shared" si="17"/>
        <v>46112</v>
      </c>
      <c r="J104" s="54">
        <f t="shared" si="19"/>
        <v>0.5</v>
      </c>
      <c r="K104" s="102" t="s">
        <v>22</v>
      </c>
    </row>
    <row r="105" spans="1:11">
      <c r="A105" s="51" t="s">
        <v>166</v>
      </c>
      <c r="B105" s="81" t="s">
        <v>84</v>
      </c>
      <c r="C105" s="51" t="s">
        <v>168</v>
      </c>
      <c r="D105" s="51" t="s">
        <v>50</v>
      </c>
      <c r="E105" s="51" t="s">
        <v>171</v>
      </c>
      <c r="F105" s="51" t="s">
        <v>62</v>
      </c>
      <c r="G105" s="52">
        <v>2</v>
      </c>
      <c r="H105" s="53">
        <v>46113</v>
      </c>
      <c r="I105" s="53">
        <f t="shared" si="17"/>
        <v>46115</v>
      </c>
      <c r="J105" s="54">
        <f>G105/$N$8</f>
        <v>2</v>
      </c>
      <c r="K105" s="102" t="s">
        <v>22</v>
      </c>
    </row>
    <row r="106" spans="1:11">
      <c r="A106" s="51" t="s">
        <v>172</v>
      </c>
      <c r="B106" s="81" t="s">
        <v>84</v>
      </c>
      <c r="C106" s="51" t="s">
        <v>168</v>
      </c>
      <c r="D106" s="51" t="s">
        <v>50</v>
      </c>
      <c r="E106" s="51" t="s">
        <v>173</v>
      </c>
      <c r="F106" s="51" t="s">
        <v>86</v>
      </c>
      <c r="G106" s="52">
        <v>3</v>
      </c>
      <c r="H106" s="53">
        <v>46120</v>
      </c>
      <c r="I106" s="53">
        <f t="shared" si="17"/>
        <v>46125</v>
      </c>
      <c r="J106" s="54">
        <f>G106/$N$7</f>
        <v>3</v>
      </c>
      <c r="K106" s="102" t="s">
        <v>22</v>
      </c>
    </row>
    <row r="107" spans="1:11">
      <c r="A107" s="51" t="s">
        <v>172</v>
      </c>
      <c r="B107" s="81" t="s">
        <v>84</v>
      </c>
      <c r="C107" s="51" t="s">
        <v>168</v>
      </c>
      <c r="D107" s="51" t="s">
        <v>278</v>
      </c>
      <c r="E107" s="51" t="s">
        <v>174</v>
      </c>
      <c r="F107" s="51" t="s">
        <v>279</v>
      </c>
      <c r="G107" s="52">
        <v>1</v>
      </c>
      <c r="H107" s="53">
        <f t="shared" si="21"/>
        <v>46125</v>
      </c>
      <c r="I107" s="53">
        <f t="shared" si="17"/>
        <v>46126</v>
      </c>
      <c r="J107" s="86">
        <f>G107/$N$5</f>
        <v>1</v>
      </c>
      <c r="K107" s="102" t="s">
        <v>22</v>
      </c>
    </row>
    <row r="108" spans="1:11">
      <c r="A108" s="51" t="s">
        <v>149</v>
      </c>
      <c r="B108" s="81" t="s">
        <v>84</v>
      </c>
      <c r="C108" s="51" t="s">
        <v>175</v>
      </c>
      <c r="D108" s="51" t="s">
        <v>46</v>
      </c>
      <c r="E108" s="51" t="s">
        <v>176</v>
      </c>
      <c r="F108" s="51" t="s">
        <v>276</v>
      </c>
      <c r="G108" s="52">
        <v>2</v>
      </c>
      <c r="H108" s="53">
        <f>WORKDAY(I104,1)</f>
        <v>46113</v>
      </c>
      <c r="I108" s="53">
        <f>WORKDAY(H108,J108)</f>
        <v>46115</v>
      </c>
      <c r="J108" s="54">
        <f>G108/$N$5</f>
        <v>2</v>
      </c>
      <c r="K108" s="102" t="s">
        <v>22</v>
      </c>
    </row>
    <row r="109" spans="1:11">
      <c r="A109" s="51" t="s">
        <v>149</v>
      </c>
      <c r="B109" s="81" t="s">
        <v>84</v>
      </c>
      <c r="C109" s="51" t="s">
        <v>175</v>
      </c>
      <c r="D109" s="51" t="s">
        <v>46</v>
      </c>
      <c r="E109" s="51" t="s">
        <v>177</v>
      </c>
      <c r="F109" s="51" t="s">
        <v>276</v>
      </c>
      <c r="G109" s="52">
        <v>2</v>
      </c>
      <c r="H109" s="53">
        <f t="shared" ref="H109:H120" si="22">WORKDAY(I108,1)</f>
        <v>46118</v>
      </c>
      <c r="I109" s="53">
        <f t="shared" ref="I109:I172" si="23">WORKDAY(H109,J109)</f>
        <v>46120</v>
      </c>
      <c r="J109" s="54">
        <f t="shared" ref="J109:J121" si="24">G109/$N$5</f>
        <v>2</v>
      </c>
      <c r="K109" s="102" t="s">
        <v>22</v>
      </c>
    </row>
    <row r="110" spans="1:11">
      <c r="A110" s="51" t="s">
        <v>149</v>
      </c>
      <c r="B110" s="81" t="s">
        <v>84</v>
      </c>
      <c r="C110" s="51" t="s">
        <v>175</v>
      </c>
      <c r="D110" s="51" t="s">
        <v>50</v>
      </c>
      <c r="E110" s="51" t="s">
        <v>178</v>
      </c>
      <c r="F110" s="51" t="s">
        <v>62</v>
      </c>
      <c r="G110" s="52">
        <v>3</v>
      </c>
      <c r="H110" s="53">
        <f t="shared" si="22"/>
        <v>46121</v>
      </c>
      <c r="I110" s="53">
        <f t="shared" si="23"/>
        <v>46126</v>
      </c>
      <c r="J110" s="54">
        <f>G110/$N$8</f>
        <v>3</v>
      </c>
      <c r="K110" s="102" t="s">
        <v>22</v>
      </c>
    </row>
    <row r="111" spans="1:11">
      <c r="A111" s="51" t="s">
        <v>151</v>
      </c>
      <c r="B111" s="81" t="s">
        <v>84</v>
      </c>
      <c r="C111" s="51" t="s">
        <v>175</v>
      </c>
      <c r="D111" s="51" t="s">
        <v>50</v>
      </c>
      <c r="E111" s="51" t="s">
        <v>179</v>
      </c>
      <c r="F111" s="51" t="s">
        <v>18</v>
      </c>
      <c r="G111" s="52">
        <v>5</v>
      </c>
      <c r="H111" s="53">
        <v>46126</v>
      </c>
      <c r="I111" s="53">
        <f t="shared" si="23"/>
        <v>46133</v>
      </c>
      <c r="J111" s="54">
        <f t="shared" si="24"/>
        <v>5</v>
      </c>
      <c r="K111" s="102" t="s">
        <v>22</v>
      </c>
    </row>
    <row r="112" spans="1:11">
      <c r="A112" s="51" t="s">
        <v>151</v>
      </c>
      <c r="B112" s="81" t="s">
        <v>84</v>
      </c>
      <c r="C112" s="51" t="s">
        <v>175</v>
      </c>
      <c r="D112" s="51" t="s">
        <v>278</v>
      </c>
      <c r="E112" s="51" t="s">
        <v>180</v>
      </c>
      <c r="F112" s="51" t="s">
        <v>279</v>
      </c>
      <c r="G112" s="52">
        <v>1</v>
      </c>
      <c r="H112" s="53">
        <f t="shared" si="22"/>
        <v>46134</v>
      </c>
      <c r="I112" s="53">
        <f t="shared" si="23"/>
        <v>46135</v>
      </c>
      <c r="J112" s="86">
        <f>G112/$N$5</f>
        <v>1</v>
      </c>
      <c r="K112" s="102" t="s">
        <v>22</v>
      </c>
    </row>
    <row r="113" spans="1:11">
      <c r="A113" s="51" t="s">
        <v>156</v>
      </c>
      <c r="B113" s="81" t="s">
        <v>84</v>
      </c>
      <c r="C113" s="51" t="s">
        <v>181</v>
      </c>
      <c r="D113" s="51" t="s">
        <v>46</v>
      </c>
      <c r="E113" s="51" t="s">
        <v>182</v>
      </c>
      <c r="F113" s="51" t="s">
        <v>276</v>
      </c>
      <c r="G113" s="52">
        <v>1</v>
      </c>
      <c r="H113" s="53">
        <f>WORKDAY(I109,1)</f>
        <v>46121</v>
      </c>
      <c r="I113" s="53">
        <f t="shared" si="23"/>
        <v>46122</v>
      </c>
      <c r="J113" s="54">
        <f t="shared" si="24"/>
        <v>1</v>
      </c>
      <c r="K113" s="102" t="s">
        <v>22</v>
      </c>
    </row>
    <row r="114" spans="1:11">
      <c r="A114" s="51" t="s">
        <v>156</v>
      </c>
      <c r="B114" s="81" t="s">
        <v>84</v>
      </c>
      <c r="C114" s="51" t="s">
        <v>181</v>
      </c>
      <c r="D114" s="51" t="s">
        <v>46</v>
      </c>
      <c r="E114" s="51" t="s">
        <v>183</v>
      </c>
      <c r="F114" s="51" t="s">
        <v>276</v>
      </c>
      <c r="G114" s="52">
        <v>2</v>
      </c>
      <c r="H114" s="53">
        <f t="shared" si="22"/>
        <v>46125</v>
      </c>
      <c r="I114" s="53">
        <f t="shared" si="23"/>
        <v>46127</v>
      </c>
      <c r="J114" s="54">
        <f t="shared" si="24"/>
        <v>2</v>
      </c>
      <c r="K114" s="102" t="s">
        <v>22</v>
      </c>
    </row>
    <row r="115" spans="1:11">
      <c r="A115" s="51" t="s">
        <v>156</v>
      </c>
      <c r="B115" s="81" t="s">
        <v>84</v>
      </c>
      <c r="C115" s="51" t="s">
        <v>181</v>
      </c>
      <c r="D115" s="51" t="s">
        <v>50</v>
      </c>
      <c r="E115" s="51" t="s">
        <v>184</v>
      </c>
      <c r="F115" s="51" t="s">
        <v>62</v>
      </c>
      <c r="G115" s="52">
        <v>1.5</v>
      </c>
      <c r="H115" s="53">
        <f t="shared" si="22"/>
        <v>46128</v>
      </c>
      <c r="I115" s="53">
        <f t="shared" si="23"/>
        <v>46129</v>
      </c>
      <c r="J115" s="54">
        <f>G115/$N$8</f>
        <v>1.5</v>
      </c>
      <c r="K115" s="102" t="s">
        <v>22</v>
      </c>
    </row>
    <row r="116" spans="1:11">
      <c r="A116" s="51" t="s">
        <v>156</v>
      </c>
      <c r="B116" s="81" t="s">
        <v>84</v>
      </c>
      <c r="C116" s="51" t="s">
        <v>181</v>
      </c>
      <c r="D116" s="51" t="s">
        <v>50</v>
      </c>
      <c r="E116" s="51" t="s">
        <v>185</v>
      </c>
      <c r="F116" s="51" t="s">
        <v>18</v>
      </c>
      <c r="G116" s="52">
        <v>2.5</v>
      </c>
      <c r="H116" s="53">
        <v>46134</v>
      </c>
      <c r="I116" s="53">
        <f t="shared" si="23"/>
        <v>46136</v>
      </c>
      <c r="J116" s="54">
        <f t="shared" si="24"/>
        <v>2.5</v>
      </c>
      <c r="K116" s="102" t="s">
        <v>22</v>
      </c>
    </row>
    <row r="117" spans="1:11">
      <c r="A117" s="51" t="s">
        <v>159</v>
      </c>
      <c r="B117" s="81" t="s">
        <v>84</v>
      </c>
      <c r="C117" s="51" t="s">
        <v>181</v>
      </c>
      <c r="D117" s="51" t="s">
        <v>278</v>
      </c>
      <c r="E117" s="51" t="s">
        <v>186</v>
      </c>
      <c r="F117" s="51" t="s">
        <v>279</v>
      </c>
      <c r="G117" s="52">
        <v>1</v>
      </c>
      <c r="H117" s="53">
        <f t="shared" si="22"/>
        <v>46139</v>
      </c>
      <c r="I117" s="53">
        <f t="shared" si="23"/>
        <v>46140</v>
      </c>
      <c r="J117" s="86">
        <f>G117/$N$5</f>
        <v>1</v>
      </c>
      <c r="K117" s="102" t="s">
        <v>22</v>
      </c>
    </row>
    <row r="118" spans="1:11">
      <c r="A118" s="51" t="s">
        <v>159</v>
      </c>
      <c r="B118" s="81" t="s">
        <v>84</v>
      </c>
      <c r="C118" s="51" t="s">
        <v>187</v>
      </c>
      <c r="D118" s="51" t="s">
        <v>46</v>
      </c>
      <c r="E118" s="51" t="s">
        <v>188</v>
      </c>
      <c r="F118" s="51" t="s">
        <v>276</v>
      </c>
      <c r="G118" s="52">
        <v>1</v>
      </c>
      <c r="H118" s="53">
        <f>WORKDAY(I114,1)</f>
        <v>46128</v>
      </c>
      <c r="I118" s="53">
        <f t="shared" si="23"/>
        <v>46129</v>
      </c>
      <c r="J118" s="54">
        <f t="shared" si="24"/>
        <v>1</v>
      </c>
      <c r="K118" s="102" t="s">
        <v>22</v>
      </c>
    </row>
    <row r="119" spans="1:11">
      <c r="A119" s="51" t="s">
        <v>159</v>
      </c>
      <c r="B119" s="81" t="s">
        <v>84</v>
      </c>
      <c r="C119" s="51" t="s">
        <v>187</v>
      </c>
      <c r="D119" s="51" t="s">
        <v>46</v>
      </c>
      <c r="E119" s="51" t="s">
        <v>189</v>
      </c>
      <c r="F119" s="51" t="s">
        <v>276</v>
      </c>
      <c r="G119" s="52">
        <v>1</v>
      </c>
      <c r="H119" s="53">
        <f t="shared" si="22"/>
        <v>46132</v>
      </c>
      <c r="I119" s="53">
        <f t="shared" si="23"/>
        <v>46133</v>
      </c>
      <c r="J119" s="54">
        <f t="shared" si="24"/>
        <v>1</v>
      </c>
      <c r="K119" s="102" t="s">
        <v>22</v>
      </c>
    </row>
    <row r="120" spans="1:11">
      <c r="A120" s="51" t="s">
        <v>159</v>
      </c>
      <c r="B120" s="81" t="s">
        <v>84</v>
      </c>
      <c r="C120" s="51" t="s">
        <v>187</v>
      </c>
      <c r="D120" s="51" t="s">
        <v>50</v>
      </c>
      <c r="E120" s="51" t="s">
        <v>190</v>
      </c>
      <c r="F120" s="51" t="s">
        <v>62</v>
      </c>
      <c r="G120" s="52">
        <v>1.5</v>
      </c>
      <c r="H120" s="53">
        <f t="shared" si="22"/>
        <v>46134</v>
      </c>
      <c r="I120" s="53">
        <f t="shared" si="23"/>
        <v>46135</v>
      </c>
      <c r="J120" s="54">
        <f>G120/$N$8</f>
        <v>1.5</v>
      </c>
      <c r="K120" s="102" t="s">
        <v>22</v>
      </c>
    </row>
    <row r="121" spans="1:11">
      <c r="A121" s="51" t="s">
        <v>159</v>
      </c>
      <c r="B121" s="81" t="s">
        <v>84</v>
      </c>
      <c r="C121" s="51" t="s">
        <v>187</v>
      </c>
      <c r="D121" s="51" t="s">
        <v>50</v>
      </c>
      <c r="E121" s="51" t="s">
        <v>191</v>
      </c>
      <c r="F121" s="51" t="s">
        <v>18</v>
      </c>
      <c r="G121" s="52">
        <v>1.5</v>
      </c>
      <c r="H121" s="53">
        <v>46139</v>
      </c>
      <c r="I121" s="53">
        <f t="shared" si="23"/>
        <v>46140</v>
      </c>
      <c r="J121" s="54">
        <f t="shared" si="24"/>
        <v>1.5</v>
      </c>
      <c r="K121" s="102" t="s">
        <v>22</v>
      </c>
    </row>
    <row r="122" spans="1:11">
      <c r="A122" s="51" t="s">
        <v>164</v>
      </c>
      <c r="B122" s="81" t="s">
        <v>84</v>
      </c>
      <c r="C122" s="51" t="s">
        <v>187</v>
      </c>
      <c r="D122" s="51" t="s">
        <v>278</v>
      </c>
      <c r="E122" s="51" t="s">
        <v>192</v>
      </c>
      <c r="F122" s="51" t="s">
        <v>279</v>
      </c>
      <c r="G122" s="52">
        <v>1</v>
      </c>
      <c r="H122" s="53">
        <f>WORKDAY(I121,1)</f>
        <v>46141</v>
      </c>
      <c r="I122" s="53">
        <f t="shared" si="23"/>
        <v>46142</v>
      </c>
      <c r="J122" s="86">
        <f>G122/$N$5</f>
        <v>1</v>
      </c>
      <c r="K122" s="102" t="s">
        <v>22</v>
      </c>
    </row>
    <row r="123" spans="1:11">
      <c r="A123" s="51" t="s">
        <v>164</v>
      </c>
      <c r="B123" s="81" t="s">
        <v>84</v>
      </c>
      <c r="C123" s="51" t="s">
        <v>193</v>
      </c>
      <c r="D123" s="51" t="s">
        <v>46</v>
      </c>
      <c r="E123" s="51" t="s">
        <v>194</v>
      </c>
      <c r="F123" s="51" t="s">
        <v>276</v>
      </c>
      <c r="G123" s="52">
        <v>1</v>
      </c>
      <c r="H123" s="53">
        <f>WORKDAY(I119,1)</f>
        <v>46134</v>
      </c>
      <c r="I123" s="53">
        <f t="shared" si="23"/>
        <v>46135</v>
      </c>
      <c r="J123" s="54">
        <f t="shared" ref="J123:J131" si="25">G123/$N$5</f>
        <v>1</v>
      </c>
      <c r="K123" s="102" t="s">
        <v>22</v>
      </c>
    </row>
    <row r="124" spans="1:11">
      <c r="A124" s="51" t="s">
        <v>164</v>
      </c>
      <c r="B124" s="81" t="s">
        <v>84</v>
      </c>
      <c r="C124" s="51" t="s">
        <v>193</v>
      </c>
      <c r="D124" s="51" t="s">
        <v>46</v>
      </c>
      <c r="E124" s="51" t="s">
        <v>195</v>
      </c>
      <c r="F124" s="51" t="s">
        <v>276</v>
      </c>
      <c r="G124" s="52">
        <v>2</v>
      </c>
      <c r="H124" s="53">
        <f t="shared" ref="H124:H142" si="26">WORKDAY(I123,1)</f>
        <v>46136</v>
      </c>
      <c r="I124" s="53">
        <f t="shared" si="23"/>
        <v>46140</v>
      </c>
      <c r="J124" s="54">
        <f t="shared" si="25"/>
        <v>2</v>
      </c>
      <c r="K124" s="102" t="s">
        <v>22</v>
      </c>
    </row>
    <row r="125" spans="1:11">
      <c r="A125" s="51" t="s">
        <v>164</v>
      </c>
      <c r="B125" s="81" t="s">
        <v>84</v>
      </c>
      <c r="C125" s="51" t="s">
        <v>193</v>
      </c>
      <c r="D125" s="51" t="s">
        <v>50</v>
      </c>
      <c r="E125" s="51" t="s">
        <v>196</v>
      </c>
      <c r="F125" s="51" t="s">
        <v>62</v>
      </c>
      <c r="G125" s="52">
        <v>1</v>
      </c>
      <c r="H125" s="53">
        <f t="shared" si="26"/>
        <v>46141</v>
      </c>
      <c r="I125" s="53">
        <f t="shared" si="23"/>
        <v>46142</v>
      </c>
      <c r="J125" s="54">
        <f>G125/$N$8</f>
        <v>1</v>
      </c>
      <c r="K125" s="102" t="s">
        <v>22</v>
      </c>
    </row>
    <row r="126" spans="1:11">
      <c r="A126" s="51" t="s">
        <v>164</v>
      </c>
      <c r="B126" s="81" t="s">
        <v>84</v>
      </c>
      <c r="C126" s="51" t="s">
        <v>193</v>
      </c>
      <c r="D126" s="51" t="s">
        <v>50</v>
      </c>
      <c r="E126" s="51" t="s">
        <v>197</v>
      </c>
      <c r="F126" s="51" t="s">
        <v>18</v>
      </c>
      <c r="G126" s="52">
        <v>2</v>
      </c>
      <c r="H126" s="53">
        <f>WORKDAY(I124,1)</f>
        <v>46141</v>
      </c>
      <c r="I126" s="53">
        <f t="shared" si="23"/>
        <v>46143</v>
      </c>
      <c r="J126" s="54">
        <f t="shared" si="25"/>
        <v>2</v>
      </c>
      <c r="K126" s="102" t="s">
        <v>22</v>
      </c>
    </row>
    <row r="127" spans="1:11">
      <c r="A127" s="51" t="s">
        <v>166</v>
      </c>
      <c r="B127" s="81" t="s">
        <v>84</v>
      </c>
      <c r="C127" s="51" t="s">
        <v>193</v>
      </c>
      <c r="D127" s="51" t="s">
        <v>278</v>
      </c>
      <c r="E127" s="51" t="s">
        <v>198</v>
      </c>
      <c r="F127" s="51" t="s">
        <v>279</v>
      </c>
      <c r="G127" s="52">
        <v>1</v>
      </c>
      <c r="H127" s="53">
        <f t="shared" si="26"/>
        <v>46146</v>
      </c>
      <c r="I127" s="53">
        <f t="shared" si="23"/>
        <v>46147</v>
      </c>
      <c r="J127" s="86">
        <f>G127/$N$5</f>
        <v>1</v>
      </c>
      <c r="K127" s="102" t="s">
        <v>22</v>
      </c>
    </row>
    <row r="128" spans="1:11">
      <c r="A128" s="51" t="s">
        <v>166</v>
      </c>
      <c r="B128" s="81" t="s">
        <v>84</v>
      </c>
      <c r="C128" s="77" t="s">
        <v>199</v>
      </c>
      <c r="D128" s="51" t="s">
        <v>46</v>
      </c>
      <c r="E128" s="51" t="s">
        <v>200</v>
      </c>
      <c r="F128" s="51" t="s">
        <v>276</v>
      </c>
      <c r="G128" s="52">
        <v>1.5</v>
      </c>
      <c r="H128" s="53">
        <f>WORKDAY(I124,1)</f>
        <v>46141</v>
      </c>
      <c r="I128" s="53">
        <f t="shared" si="23"/>
        <v>46142</v>
      </c>
      <c r="J128" s="54">
        <f t="shared" si="25"/>
        <v>1.5</v>
      </c>
      <c r="K128" s="102" t="s">
        <v>22</v>
      </c>
    </row>
    <row r="129" spans="1:11">
      <c r="A129" s="51" t="s">
        <v>166</v>
      </c>
      <c r="B129" s="81" t="s">
        <v>84</v>
      </c>
      <c r="C129" s="77" t="s">
        <v>199</v>
      </c>
      <c r="D129" s="51" t="s">
        <v>46</v>
      </c>
      <c r="E129" s="51" t="s">
        <v>201</v>
      </c>
      <c r="F129" s="51" t="s">
        <v>276</v>
      </c>
      <c r="G129" s="52">
        <v>1.5</v>
      </c>
      <c r="H129" s="53">
        <f t="shared" si="26"/>
        <v>46143</v>
      </c>
      <c r="I129" s="53">
        <f t="shared" si="23"/>
        <v>46146</v>
      </c>
      <c r="J129" s="54">
        <f t="shared" si="25"/>
        <v>1.5</v>
      </c>
      <c r="K129" s="102" t="s">
        <v>22</v>
      </c>
    </row>
    <row r="130" spans="1:11">
      <c r="A130" s="51" t="s">
        <v>166</v>
      </c>
      <c r="B130" s="81" t="s">
        <v>84</v>
      </c>
      <c r="C130" s="77" t="s">
        <v>199</v>
      </c>
      <c r="D130" s="51" t="s">
        <v>50</v>
      </c>
      <c r="E130" s="51" t="s">
        <v>202</v>
      </c>
      <c r="F130" s="51" t="s">
        <v>62</v>
      </c>
      <c r="G130" s="52">
        <v>2</v>
      </c>
      <c r="H130" s="53">
        <f t="shared" si="26"/>
        <v>46147</v>
      </c>
      <c r="I130" s="53">
        <f t="shared" si="23"/>
        <v>46149</v>
      </c>
      <c r="J130" s="54">
        <f>G130/$N$8</f>
        <v>2</v>
      </c>
      <c r="K130" s="102" t="s">
        <v>22</v>
      </c>
    </row>
    <row r="131" spans="1:11">
      <c r="A131" s="51" t="s">
        <v>172</v>
      </c>
      <c r="B131" s="81" t="s">
        <v>84</v>
      </c>
      <c r="C131" s="77" t="s">
        <v>199</v>
      </c>
      <c r="D131" s="51" t="s">
        <v>50</v>
      </c>
      <c r="E131" s="51" t="s">
        <v>203</v>
      </c>
      <c r="F131" s="51" t="s">
        <v>18</v>
      </c>
      <c r="G131" s="52">
        <v>2</v>
      </c>
      <c r="H131" s="53">
        <f>WORKDAY(I129,1)</f>
        <v>46147</v>
      </c>
      <c r="I131" s="53">
        <f t="shared" si="23"/>
        <v>46149</v>
      </c>
      <c r="J131" s="54">
        <f t="shared" si="25"/>
        <v>2</v>
      </c>
      <c r="K131" s="102" t="s">
        <v>22</v>
      </c>
    </row>
    <row r="132" spans="1:11">
      <c r="A132" s="51" t="s">
        <v>172</v>
      </c>
      <c r="B132" s="81" t="s">
        <v>84</v>
      </c>
      <c r="C132" s="77" t="s">
        <v>199</v>
      </c>
      <c r="D132" s="51" t="s">
        <v>278</v>
      </c>
      <c r="E132" s="51" t="s">
        <v>204</v>
      </c>
      <c r="F132" s="51" t="s">
        <v>279</v>
      </c>
      <c r="G132" s="52">
        <v>1</v>
      </c>
      <c r="H132" s="53">
        <f t="shared" si="26"/>
        <v>46150</v>
      </c>
      <c r="I132" s="53">
        <f t="shared" si="23"/>
        <v>46153</v>
      </c>
      <c r="J132" s="86">
        <f>G132/$N$5</f>
        <v>1</v>
      </c>
      <c r="K132" s="102" t="s">
        <v>22</v>
      </c>
    </row>
    <row r="133" spans="1:11">
      <c r="A133" s="51" t="s">
        <v>172</v>
      </c>
      <c r="B133" s="81" t="s">
        <v>84</v>
      </c>
      <c r="C133" s="77" t="s">
        <v>205</v>
      </c>
      <c r="D133" s="51" t="s">
        <v>46</v>
      </c>
      <c r="E133" s="51" t="s">
        <v>206</v>
      </c>
      <c r="F133" s="51" t="s">
        <v>276</v>
      </c>
      <c r="G133" s="52">
        <v>1</v>
      </c>
      <c r="H133" s="53">
        <f>WORKDAY(I129,1)</f>
        <v>46147</v>
      </c>
      <c r="I133" s="53">
        <f t="shared" si="23"/>
        <v>46148</v>
      </c>
      <c r="J133" s="54">
        <f t="shared" ref="J133:J141" si="27">G133/$N$5</f>
        <v>1</v>
      </c>
      <c r="K133" s="102" t="s">
        <v>22</v>
      </c>
    </row>
    <row r="134" spans="1:11">
      <c r="A134" s="51" t="s">
        <v>172</v>
      </c>
      <c r="B134" s="81" t="s">
        <v>84</v>
      </c>
      <c r="C134" s="77" t="s">
        <v>205</v>
      </c>
      <c r="D134" s="51" t="s">
        <v>46</v>
      </c>
      <c r="E134" s="51" t="s">
        <v>207</v>
      </c>
      <c r="F134" s="51" t="s">
        <v>276</v>
      </c>
      <c r="G134" s="52">
        <v>1</v>
      </c>
      <c r="H134" s="53">
        <f t="shared" si="26"/>
        <v>46149</v>
      </c>
      <c r="I134" s="53">
        <f t="shared" si="23"/>
        <v>46150</v>
      </c>
      <c r="J134" s="54">
        <f t="shared" si="27"/>
        <v>1</v>
      </c>
      <c r="K134" s="102" t="s">
        <v>22</v>
      </c>
    </row>
    <row r="135" spans="1:11">
      <c r="A135" s="51" t="s">
        <v>208</v>
      </c>
      <c r="B135" s="81" t="s">
        <v>84</v>
      </c>
      <c r="C135" s="77" t="s">
        <v>205</v>
      </c>
      <c r="D135" s="51" t="s">
        <v>50</v>
      </c>
      <c r="E135" s="51" t="s">
        <v>209</v>
      </c>
      <c r="F135" s="51" t="s">
        <v>62</v>
      </c>
      <c r="G135" s="52">
        <v>1</v>
      </c>
      <c r="H135" s="53">
        <f t="shared" si="26"/>
        <v>46153</v>
      </c>
      <c r="I135" s="53">
        <f t="shared" si="23"/>
        <v>46154</v>
      </c>
      <c r="J135" s="54">
        <f>G135/$N$8</f>
        <v>1</v>
      </c>
      <c r="K135" s="102" t="s">
        <v>22</v>
      </c>
    </row>
    <row r="136" spans="1:11">
      <c r="A136" s="51" t="s">
        <v>208</v>
      </c>
      <c r="B136" s="81" t="s">
        <v>84</v>
      </c>
      <c r="C136" s="77" t="s">
        <v>205</v>
      </c>
      <c r="D136" s="51" t="s">
        <v>50</v>
      </c>
      <c r="E136" s="51" t="s">
        <v>210</v>
      </c>
      <c r="F136" s="51" t="s">
        <v>18</v>
      </c>
      <c r="G136" s="52">
        <v>2</v>
      </c>
      <c r="H136" s="53">
        <f>WORKDAY(I134,1)</f>
        <v>46153</v>
      </c>
      <c r="I136" s="53">
        <f t="shared" si="23"/>
        <v>46155</v>
      </c>
      <c r="J136" s="54">
        <f t="shared" si="27"/>
        <v>2</v>
      </c>
      <c r="K136" s="102" t="s">
        <v>22</v>
      </c>
    </row>
    <row r="137" spans="1:11">
      <c r="A137" s="51" t="s">
        <v>208</v>
      </c>
      <c r="B137" s="81" t="s">
        <v>84</v>
      </c>
      <c r="C137" s="77" t="s">
        <v>205</v>
      </c>
      <c r="D137" s="51" t="s">
        <v>278</v>
      </c>
      <c r="E137" s="51" t="s">
        <v>211</v>
      </c>
      <c r="F137" s="51" t="s">
        <v>279</v>
      </c>
      <c r="G137" s="52">
        <v>1</v>
      </c>
      <c r="H137" s="53">
        <f t="shared" si="26"/>
        <v>46156</v>
      </c>
      <c r="I137" s="53">
        <f t="shared" si="23"/>
        <v>46157</v>
      </c>
      <c r="J137" s="86">
        <f>G137/$N$5</f>
        <v>1</v>
      </c>
      <c r="K137" s="102" t="s">
        <v>22</v>
      </c>
    </row>
    <row r="138" spans="1:11">
      <c r="A138" s="51" t="s">
        <v>208</v>
      </c>
      <c r="B138" s="81" t="s">
        <v>84</v>
      </c>
      <c r="C138" s="77" t="s">
        <v>212</v>
      </c>
      <c r="D138" s="51" t="s">
        <v>46</v>
      </c>
      <c r="E138" s="51" t="s">
        <v>213</v>
      </c>
      <c r="F138" s="51" t="s">
        <v>276</v>
      </c>
      <c r="G138" s="52">
        <v>1</v>
      </c>
      <c r="H138" s="53">
        <f>WORKDAY(I134,1)</f>
        <v>46153</v>
      </c>
      <c r="I138" s="53">
        <f t="shared" si="23"/>
        <v>46154</v>
      </c>
      <c r="J138" s="54">
        <f t="shared" si="27"/>
        <v>1</v>
      </c>
      <c r="K138" s="102" t="s">
        <v>22</v>
      </c>
    </row>
    <row r="139" spans="1:11">
      <c r="A139" s="51" t="s">
        <v>208</v>
      </c>
      <c r="B139" s="81" t="s">
        <v>84</v>
      </c>
      <c r="C139" s="77" t="s">
        <v>212</v>
      </c>
      <c r="D139" s="51" t="s">
        <v>46</v>
      </c>
      <c r="E139" s="51" t="s">
        <v>214</v>
      </c>
      <c r="F139" s="51" t="s">
        <v>276</v>
      </c>
      <c r="G139" s="52">
        <v>1</v>
      </c>
      <c r="H139" s="53">
        <f t="shared" si="26"/>
        <v>46155</v>
      </c>
      <c r="I139" s="53">
        <f t="shared" si="23"/>
        <v>46156</v>
      </c>
      <c r="J139" s="54">
        <f t="shared" si="27"/>
        <v>1</v>
      </c>
      <c r="K139" s="102" t="s">
        <v>22</v>
      </c>
    </row>
    <row r="140" spans="1:11">
      <c r="A140" s="51" t="s">
        <v>215</v>
      </c>
      <c r="B140" s="81" t="s">
        <v>84</v>
      </c>
      <c r="C140" s="77" t="s">
        <v>212</v>
      </c>
      <c r="D140" s="51" t="s">
        <v>50</v>
      </c>
      <c r="E140" s="51" t="s">
        <v>216</v>
      </c>
      <c r="F140" s="51" t="s">
        <v>62</v>
      </c>
      <c r="G140" s="52">
        <v>1</v>
      </c>
      <c r="H140" s="53">
        <f t="shared" si="26"/>
        <v>46157</v>
      </c>
      <c r="I140" s="53">
        <f t="shared" si="23"/>
        <v>46160</v>
      </c>
      <c r="J140" s="54">
        <f>G140/$N$8</f>
        <v>1</v>
      </c>
      <c r="K140" s="102" t="s">
        <v>22</v>
      </c>
    </row>
    <row r="141" spans="1:11">
      <c r="A141" s="51" t="s">
        <v>215</v>
      </c>
      <c r="B141" s="81" t="s">
        <v>84</v>
      </c>
      <c r="C141" s="77" t="s">
        <v>212</v>
      </c>
      <c r="D141" s="51" t="s">
        <v>50</v>
      </c>
      <c r="E141" s="51" t="s">
        <v>217</v>
      </c>
      <c r="F141" s="51" t="s">
        <v>18</v>
      </c>
      <c r="G141" s="52">
        <v>2</v>
      </c>
      <c r="H141" s="53">
        <f>WORKDAY(I139,1)</f>
        <v>46157</v>
      </c>
      <c r="I141" s="53">
        <f t="shared" si="23"/>
        <v>46161</v>
      </c>
      <c r="J141" s="54">
        <f t="shared" si="27"/>
        <v>2</v>
      </c>
      <c r="K141" s="102" t="s">
        <v>22</v>
      </c>
    </row>
    <row r="142" spans="1:11">
      <c r="A142" s="51" t="s">
        <v>215</v>
      </c>
      <c r="B142" s="81" t="s">
        <v>84</v>
      </c>
      <c r="C142" s="77" t="s">
        <v>212</v>
      </c>
      <c r="D142" s="51" t="s">
        <v>278</v>
      </c>
      <c r="E142" s="51" t="s">
        <v>218</v>
      </c>
      <c r="F142" s="51" t="s">
        <v>279</v>
      </c>
      <c r="G142" s="52">
        <v>1</v>
      </c>
      <c r="H142" s="53">
        <f t="shared" si="26"/>
        <v>46162</v>
      </c>
      <c r="I142" s="53">
        <f t="shared" si="23"/>
        <v>46163</v>
      </c>
      <c r="J142" s="86">
        <f>G142/$N$5</f>
        <v>1</v>
      </c>
      <c r="K142" s="102" t="s">
        <v>22</v>
      </c>
    </row>
    <row r="143" spans="1:11">
      <c r="A143" s="51" t="s">
        <v>100</v>
      </c>
      <c r="B143" s="81" t="s">
        <v>84</v>
      </c>
      <c r="C143" s="77" t="s">
        <v>219</v>
      </c>
      <c r="D143" s="51" t="s">
        <v>46</v>
      </c>
      <c r="E143" s="51" t="s">
        <v>220</v>
      </c>
      <c r="F143" s="51" t="s">
        <v>276</v>
      </c>
      <c r="G143" s="52">
        <v>2</v>
      </c>
      <c r="H143" s="53">
        <f>WORKDAY(I139,1)</f>
        <v>46157</v>
      </c>
      <c r="I143" s="53">
        <f t="shared" si="23"/>
        <v>46161</v>
      </c>
      <c r="J143" s="54">
        <f>G143/$N$7</f>
        <v>2</v>
      </c>
      <c r="K143" s="102" t="s">
        <v>22</v>
      </c>
    </row>
    <row r="144" spans="1:11">
      <c r="A144" s="51" t="s">
        <v>100</v>
      </c>
      <c r="B144" s="81" t="s">
        <v>84</v>
      </c>
      <c r="C144" s="77" t="s">
        <v>219</v>
      </c>
      <c r="D144" s="51" t="s">
        <v>46</v>
      </c>
      <c r="E144" s="51" t="s">
        <v>221</v>
      </c>
      <c r="F144" s="51" t="s">
        <v>276</v>
      </c>
      <c r="G144" s="52">
        <v>2</v>
      </c>
      <c r="H144" s="53">
        <f t="shared" ref="H144:H152" si="28">WORKDAY(I143,1)</f>
        <v>46162</v>
      </c>
      <c r="I144" s="53">
        <f t="shared" si="23"/>
        <v>46164</v>
      </c>
      <c r="J144" s="54">
        <f t="shared" ref="J144:J149" si="29">G144/$N$7</f>
        <v>2</v>
      </c>
      <c r="K144" s="102" t="s">
        <v>22</v>
      </c>
    </row>
    <row r="145" spans="1:11">
      <c r="A145" s="51" t="s">
        <v>107</v>
      </c>
      <c r="B145" s="81" t="s">
        <v>84</v>
      </c>
      <c r="C145" s="77" t="s">
        <v>219</v>
      </c>
      <c r="D145" s="51" t="s">
        <v>50</v>
      </c>
      <c r="E145" s="51" t="s">
        <v>222</v>
      </c>
      <c r="F145" s="51" t="s">
        <v>62</v>
      </c>
      <c r="G145" s="52">
        <v>3.5</v>
      </c>
      <c r="H145" s="53">
        <f t="shared" si="28"/>
        <v>46167</v>
      </c>
      <c r="I145" s="53">
        <f t="shared" si="23"/>
        <v>46170</v>
      </c>
      <c r="J145" s="54">
        <f>G145/$N$8</f>
        <v>3.5</v>
      </c>
      <c r="K145" s="102" t="s">
        <v>22</v>
      </c>
    </row>
    <row r="146" spans="1:11">
      <c r="A146" s="51" t="s">
        <v>107</v>
      </c>
      <c r="B146" s="81" t="s">
        <v>84</v>
      </c>
      <c r="C146" s="77" t="s">
        <v>219</v>
      </c>
      <c r="D146" s="51" t="s">
        <v>50</v>
      </c>
      <c r="E146" s="51" t="s">
        <v>223</v>
      </c>
      <c r="F146" s="51" t="s">
        <v>86</v>
      </c>
      <c r="G146" s="52">
        <v>4</v>
      </c>
      <c r="H146" s="53">
        <f>WORKDAY(I144,1)</f>
        <v>46167</v>
      </c>
      <c r="I146" s="53">
        <f t="shared" si="23"/>
        <v>46171</v>
      </c>
      <c r="J146" s="54">
        <f t="shared" si="29"/>
        <v>4</v>
      </c>
      <c r="K146" s="102" t="s">
        <v>22</v>
      </c>
    </row>
    <row r="147" spans="1:11">
      <c r="A147" s="51" t="s">
        <v>107</v>
      </c>
      <c r="B147" s="81" t="s">
        <v>84</v>
      </c>
      <c r="C147" s="77" t="s">
        <v>219</v>
      </c>
      <c r="D147" s="51" t="s">
        <v>278</v>
      </c>
      <c r="E147" s="51" t="s">
        <v>224</v>
      </c>
      <c r="F147" s="51" t="s">
        <v>279</v>
      </c>
      <c r="G147" s="52">
        <v>1.5</v>
      </c>
      <c r="H147" s="53">
        <f t="shared" si="28"/>
        <v>46174</v>
      </c>
      <c r="I147" s="53">
        <f t="shared" si="23"/>
        <v>46175</v>
      </c>
      <c r="J147" s="86">
        <f>G147/$N$5</f>
        <v>1.5</v>
      </c>
      <c r="K147" s="102" t="s">
        <v>22</v>
      </c>
    </row>
    <row r="148" spans="1:11">
      <c r="A148" s="51" t="s">
        <v>113</v>
      </c>
      <c r="B148" s="81" t="s">
        <v>84</v>
      </c>
      <c r="C148" s="77" t="s">
        <v>225</v>
      </c>
      <c r="D148" s="51" t="s">
        <v>46</v>
      </c>
      <c r="E148" s="51" t="s">
        <v>226</v>
      </c>
      <c r="F148" s="51" t="s">
        <v>276</v>
      </c>
      <c r="G148" s="52">
        <v>2</v>
      </c>
      <c r="H148" s="53">
        <f>WORKDAY(I144,1)</f>
        <v>46167</v>
      </c>
      <c r="I148" s="53">
        <f t="shared" si="23"/>
        <v>46169</v>
      </c>
      <c r="J148" s="54">
        <f t="shared" si="29"/>
        <v>2</v>
      </c>
      <c r="K148" s="102" t="s">
        <v>22</v>
      </c>
    </row>
    <row r="149" spans="1:11">
      <c r="A149" s="51" t="s">
        <v>113</v>
      </c>
      <c r="B149" s="81" t="s">
        <v>84</v>
      </c>
      <c r="C149" s="77" t="s">
        <v>225</v>
      </c>
      <c r="D149" s="51" t="s">
        <v>46</v>
      </c>
      <c r="E149" s="51" t="s">
        <v>227</v>
      </c>
      <c r="F149" s="51" t="s">
        <v>276</v>
      </c>
      <c r="G149" s="52">
        <v>2</v>
      </c>
      <c r="H149" s="53">
        <f t="shared" si="28"/>
        <v>46170</v>
      </c>
      <c r="I149" s="53">
        <f t="shared" si="23"/>
        <v>46174</v>
      </c>
      <c r="J149" s="54">
        <f t="shared" si="29"/>
        <v>2</v>
      </c>
      <c r="K149" s="102" t="s">
        <v>22</v>
      </c>
    </row>
    <row r="150" spans="1:11">
      <c r="A150" s="51" t="s">
        <v>113</v>
      </c>
      <c r="B150" s="81" t="s">
        <v>84</v>
      </c>
      <c r="C150" s="77" t="s">
        <v>225</v>
      </c>
      <c r="D150" s="51" t="s">
        <v>50</v>
      </c>
      <c r="E150" s="51" t="s">
        <v>228</v>
      </c>
      <c r="F150" s="51" t="s">
        <v>62</v>
      </c>
      <c r="G150" s="52">
        <v>2.5</v>
      </c>
      <c r="H150" s="53">
        <f t="shared" si="28"/>
        <v>46175</v>
      </c>
      <c r="I150" s="53">
        <f t="shared" si="23"/>
        <v>46177</v>
      </c>
      <c r="J150" s="54">
        <f>G150/$N$8</f>
        <v>2.5</v>
      </c>
      <c r="K150" s="102" t="s">
        <v>22</v>
      </c>
    </row>
    <row r="151" spans="1:11">
      <c r="A151" s="51" t="s">
        <v>115</v>
      </c>
      <c r="B151" s="81" t="s">
        <v>84</v>
      </c>
      <c r="C151" s="77" t="s">
        <v>225</v>
      </c>
      <c r="D151" s="51" t="s">
        <v>50</v>
      </c>
      <c r="E151" s="51" t="s">
        <v>229</v>
      </c>
      <c r="F151" s="51" t="s">
        <v>18</v>
      </c>
      <c r="G151" s="52">
        <v>4.5</v>
      </c>
      <c r="H151" s="53">
        <f>WORKDAY(I149,1)</f>
        <v>46175</v>
      </c>
      <c r="I151" s="53">
        <f t="shared" si="23"/>
        <v>46181</v>
      </c>
      <c r="J151" s="54">
        <f>G151/$N$5</f>
        <v>4.5</v>
      </c>
      <c r="K151" s="102" t="s">
        <v>22</v>
      </c>
    </row>
    <row r="152" spans="1:11">
      <c r="A152" s="51" t="s">
        <v>115</v>
      </c>
      <c r="B152" s="81" t="s">
        <v>84</v>
      </c>
      <c r="C152" s="77" t="s">
        <v>225</v>
      </c>
      <c r="D152" s="51" t="s">
        <v>278</v>
      </c>
      <c r="E152" s="51" t="s">
        <v>230</v>
      </c>
      <c r="F152" s="51" t="s">
        <v>279</v>
      </c>
      <c r="G152" s="52">
        <v>2</v>
      </c>
      <c r="H152" s="53">
        <f t="shared" si="28"/>
        <v>46182</v>
      </c>
      <c r="I152" s="53">
        <f t="shared" si="23"/>
        <v>46184</v>
      </c>
      <c r="J152" s="86">
        <f>G152/$N$5</f>
        <v>2</v>
      </c>
      <c r="K152" s="102" t="s">
        <v>22</v>
      </c>
    </row>
    <row r="153" spans="1:11">
      <c r="A153" s="51" t="s">
        <v>115</v>
      </c>
      <c r="B153" s="81" t="s">
        <v>84</v>
      </c>
      <c r="C153" s="77" t="s">
        <v>231</v>
      </c>
      <c r="D153" s="51" t="s">
        <v>46</v>
      </c>
      <c r="E153" s="51" t="s">
        <v>232</v>
      </c>
      <c r="F153" s="51" t="s">
        <v>276</v>
      </c>
      <c r="G153" s="52">
        <v>1</v>
      </c>
      <c r="H153" s="53">
        <f>WORKDAY(I149,1)</f>
        <v>46175</v>
      </c>
      <c r="I153" s="53">
        <f t="shared" si="23"/>
        <v>46176</v>
      </c>
      <c r="J153" s="54">
        <f t="shared" ref="J153:J174" si="30">G153/$N$7</f>
        <v>1</v>
      </c>
      <c r="K153" s="102" t="s">
        <v>22</v>
      </c>
    </row>
    <row r="154" spans="1:11">
      <c r="A154" s="51" t="s">
        <v>121</v>
      </c>
      <c r="B154" s="81" t="s">
        <v>84</v>
      </c>
      <c r="C154" s="77" t="s">
        <v>231</v>
      </c>
      <c r="D154" s="51" t="s">
        <v>46</v>
      </c>
      <c r="E154" s="51" t="s">
        <v>233</v>
      </c>
      <c r="F154" s="51" t="s">
        <v>276</v>
      </c>
      <c r="G154" s="52">
        <v>1</v>
      </c>
      <c r="H154" s="53">
        <f t="shared" ref="H154:H176" si="31">WORKDAY(I153,1)</f>
        <v>46177</v>
      </c>
      <c r="I154" s="53">
        <f t="shared" si="23"/>
        <v>46178</v>
      </c>
      <c r="J154" s="54">
        <f t="shared" si="30"/>
        <v>1</v>
      </c>
      <c r="K154" s="102" t="s">
        <v>22</v>
      </c>
    </row>
    <row r="155" spans="1:11">
      <c r="A155" s="51" t="s">
        <v>121</v>
      </c>
      <c r="B155" s="81" t="s">
        <v>84</v>
      </c>
      <c r="C155" s="77" t="s">
        <v>231</v>
      </c>
      <c r="D155" s="51" t="s">
        <v>50</v>
      </c>
      <c r="E155" s="51" t="s">
        <v>234</v>
      </c>
      <c r="F155" s="51" t="s">
        <v>62</v>
      </c>
      <c r="G155" s="52">
        <v>1</v>
      </c>
      <c r="H155" s="53">
        <f t="shared" si="31"/>
        <v>46181</v>
      </c>
      <c r="I155" s="53">
        <f t="shared" si="23"/>
        <v>46182</v>
      </c>
      <c r="J155" s="54">
        <f>G155/$N$8</f>
        <v>1</v>
      </c>
      <c r="K155" s="102" t="s">
        <v>22</v>
      </c>
    </row>
    <row r="156" spans="1:11">
      <c r="A156" s="51" t="s">
        <v>121</v>
      </c>
      <c r="B156" s="81" t="s">
        <v>84</v>
      </c>
      <c r="C156" s="77" t="s">
        <v>231</v>
      </c>
      <c r="D156" s="51" t="s">
        <v>50</v>
      </c>
      <c r="E156" s="51" t="s">
        <v>235</v>
      </c>
      <c r="F156" s="51" t="s">
        <v>86</v>
      </c>
      <c r="G156" s="52">
        <v>2</v>
      </c>
      <c r="H156" s="53">
        <f>WORKDAY(I154,1)</f>
        <v>46181</v>
      </c>
      <c r="I156" s="53">
        <f t="shared" si="23"/>
        <v>46183</v>
      </c>
      <c r="J156" s="54">
        <f t="shared" si="30"/>
        <v>2</v>
      </c>
      <c r="K156" s="102" t="s">
        <v>22</v>
      </c>
    </row>
    <row r="157" spans="1:11">
      <c r="A157" s="51" t="s">
        <v>121</v>
      </c>
      <c r="B157" s="81" t="s">
        <v>84</v>
      </c>
      <c r="C157" s="77" t="s">
        <v>231</v>
      </c>
      <c r="D157" s="51" t="s">
        <v>278</v>
      </c>
      <c r="E157" s="51" t="s">
        <v>236</v>
      </c>
      <c r="F157" s="51" t="s">
        <v>279</v>
      </c>
      <c r="G157" s="52">
        <v>1</v>
      </c>
      <c r="H157" s="53">
        <f t="shared" si="31"/>
        <v>46184</v>
      </c>
      <c r="I157" s="53">
        <f t="shared" si="23"/>
        <v>46185</v>
      </c>
      <c r="J157" s="86">
        <f>G157/$N$5</f>
        <v>1</v>
      </c>
      <c r="K157" s="102" t="s">
        <v>22</v>
      </c>
    </row>
    <row r="158" spans="1:11">
      <c r="A158" s="51" t="s">
        <v>121</v>
      </c>
      <c r="B158" s="81" t="s">
        <v>84</v>
      </c>
      <c r="C158" s="77" t="s">
        <v>237</v>
      </c>
      <c r="D158" s="51" t="s">
        <v>46</v>
      </c>
      <c r="E158" s="51" t="s">
        <v>238</v>
      </c>
      <c r="F158" s="51" t="s">
        <v>276</v>
      </c>
      <c r="G158" s="52">
        <v>1</v>
      </c>
      <c r="H158" s="53">
        <f>WORKDAY(I154,1)</f>
        <v>46181</v>
      </c>
      <c r="I158" s="53">
        <f t="shared" si="23"/>
        <v>46182</v>
      </c>
      <c r="J158" s="54">
        <f t="shared" si="30"/>
        <v>1</v>
      </c>
      <c r="K158" s="102" t="s">
        <v>22</v>
      </c>
    </row>
    <row r="159" spans="1:11">
      <c r="A159" s="51" t="s">
        <v>125</v>
      </c>
      <c r="B159" s="81" t="s">
        <v>84</v>
      </c>
      <c r="C159" s="77" t="s">
        <v>237</v>
      </c>
      <c r="D159" s="51" t="s">
        <v>46</v>
      </c>
      <c r="E159" s="51" t="s">
        <v>239</v>
      </c>
      <c r="F159" s="51" t="s">
        <v>276</v>
      </c>
      <c r="G159" s="52">
        <v>1</v>
      </c>
      <c r="H159" s="53">
        <f t="shared" si="31"/>
        <v>46183</v>
      </c>
      <c r="I159" s="53">
        <f t="shared" si="23"/>
        <v>46184</v>
      </c>
      <c r="J159" s="54">
        <f t="shared" si="30"/>
        <v>1</v>
      </c>
      <c r="K159" s="102" t="s">
        <v>22</v>
      </c>
    </row>
    <row r="160" spans="1:11">
      <c r="A160" s="51" t="s">
        <v>125</v>
      </c>
      <c r="B160" s="81" t="s">
        <v>84</v>
      </c>
      <c r="C160" s="77" t="s">
        <v>237</v>
      </c>
      <c r="D160" s="51" t="s">
        <v>50</v>
      </c>
      <c r="E160" s="51" t="s">
        <v>240</v>
      </c>
      <c r="F160" s="51" t="s">
        <v>62</v>
      </c>
      <c r="G160" s="52">
        <v>3</v>
      </c>
      <c r="H160" s="53">
        <f t="shared" si="31"/>
        <v>46185</v>
      </c>
      <c r="I160" s="53">
        <f t="shared" si="23"/>
        <v>46190</v>
      </c>
      <c r="J160" s="54">
        <f>G160/$N$8</f>
        <v>3</v>
      </c>
      <c r="K160" s="102" t="s">
        <v>22</v>
      </c>
    </row>
    <row r="161" spans="1:11">
      <c r="A161" s="51" t="s">
        <v>125</v>
      </c>
      <c r="B161" s="81" t="s">
        <v>84</v>
      </c>
      <c r="C161" s="77" t="s">
        <v>237</v>
      </c>
      <c r="D161" s="51" t="s">
        <v>50</v>
      </c>
      <c r="E161" s="51" t="s">
        <v>241</v>
      </c>
      <c r="F161" s="51" t="s">
        <v>86</v>
      </c>
      <c r="G161" s="52">
        <v>4</v>
      </c>
      <c r="H161" s="53">
        <f>WORKDAY(I159,1)</f>
        <v>46185</v>
      </c>
      <c r="I161" s="53">
        <f t="shared" si="23"/>
        <v>46191</v>
      </c>
      <c r="J161" s="54">
        <f t="shared" si="30"/>
        <v>4</v>
      </c>
      <c r="K161" s="102" t="s">
        <v>22</v>
      </c>
    </row>
    <row r="162" spans="1:11">
      <c r="A162" s="51" t="s">
        <v>149</v>
      </c>
      <c r="B162" s="81" t="s">
        <v>84</v>
      </c>
      <c r="C162" s="77" t="s">
        <v>237</v>
      </c>
      <c r="D162" s="51" t="s">
        <v>278</v>
      </c>
      <c r="E162" s="51" t="s">
        <v>242</v>
      </c>
      <c r="F162" s="51" t="s">
        <v>279</v>
      </c>
      <c r="G162" s="52">
        <v>2</v>
      </c>
      <c r="H162" s="53">
        <f t="shared" si="31"/>
        <v>46192</v>
      </c>
      <c r="I162" s="53">
        <f t="shared" si="23"/>
        <v>46196</v>
      </c>
      <c r="J162" s="86">
        <f>G162/$N$5</f>
        <v>2</v>
      </c>
      <c r="K162" s="102" t="s">
        <v>22</v>
      </c>
    </row>
    <row r="163" spans="1:11">
      <c r="A163" s="51" t="s">
        <v>149</v>
      </c>
      <c r="B163" s="81" t="s">
        <v>84</v>
      </c>
      <c r="C163" s="77" t="s">
        <v>243</v>
      </c>
      <c r="D163" s="51" t="s">
        <v>46</v>
      </c>
      <c r="E163" s="51" t="s">
        <v>244</v>
      </c>
      <c r="F163" s="51" t="s">
        <v>276</v>
      </c>
      <c r="G163" s="52">
        <v>1</v>
      </c>
      <c r="H163" s="53">
        <f>WORKDAY(I159,1)</f>
        <v>46185</v>
      </c>
      <c r="I163" s="53">
        <f t="shared" si="23"/>
        <v>46188</v>
      </c>
      <c r="J163" s="54">
        <f t="shared" si="30"/>
        <v>1</v>
      </c>
      <c r="K163" s="102" t="s">
        <v>22</v>
      </c>
    </row>
    <row r="164" spans="1:11">
      <c r="A164" s="51" t="s">
        <v>149</v>
      </c>
      <c r="B164" s="81" t="s">
        <v>84</v>
      </c>
      <c r="C164" s="77" t="s">
        <v>243</v>
      </c>
      <c r="D164" s="51" t="s">
        <v>46</v>
      </c>
      <c r="E164" s="51" t="s">
        <v>245</v>
      </c>
      <c r="F164" s="51" t="s">
        <v>276</v>
      </c>
      <c r="G164" s="52">
        <v>1</v>
      </c>
      <c r="H164" s="53">
        <f t="shared" si="31"/>
        <v>46189</v>
      </c>
      <c r="I164" s="53">
        <f t="shared" si="23"/>
        <v>46190</v>
      </c>
      <c r="J164" s="54">
        <f t="shared" si="30"/>
        <v>1</v>
      </c>
      <c r="K164" s="102" t="s">
        <v>22</v>
      </c>
    </row>
    <row r="165" spans="1:11">
      <c r="A165" s="51" t="s">
        <v>149</v>
      </c>
      <c r="B165" s="81" t="s">
        <v>84</v>
      </c>
      <c r="C165" s="77" t="s">
        <v>243</v>
      </c>
      <c r="D165" s="51" t="s">
        <v>50</v>
      </c>
      <c r="E165" s="51" t="s">
        <v>246</v>
      </c>
      <c r="F165" s="51" t="s">
        <v>62</v>
      </c>
      <c r="G165" s="52">
        <v>2</v>
      </c>
      <c r="H165" s="53">
        <f t="shared" si="31"/>
        <v>46191</v>
      </c>
      <c r="I165" s="53">
        <f t="shared" si="23"/>
        <v>46195</v>
      </c>
      <c r="J165" s="54">
        <f>G165/$N$8</f>
        <v>2</v>
      </c>
      <c r="K165" s="102" t="s">
        <v>22</v>
      </c>
    </row>
    <row r="166" spans="1:11">
      <c r="A166" s="51" t="s">
        <v>151</v>
      </c>
      <c r="B166" s="81" t="s">
        <v>84</v>
      </c>
      <c r="C166" s="77" t="s">
        <v>243</v>
      </c>
      <c r="D166" s="51" t="s">
        <v>50</v>
      </c>
      <c r="E166" s="51" t="s">
        <v>247</v>
      </c>
      <c r="F166" s="51" t="s">
        <v>18</v>
      </c>
      <c r="G166" s="52">
        <v>2</v>
      </c>
      <c r="H166" s="53">
        <f>WORKDAY(I164,1)</f>
        <v>46191</v>
      </c>
      <c r="I166" s="53">
        <f t="shared" si="23"/>
        <v>46195</v>
      </c>
      <c r="J166" s="54">
        <f>G166/$N$5</f>
        <v>2</v>
      </c>
      <c r="K166" s="102" t="s">
        <v>22</v>
      </c>
    </row>
    <row r="167" spans="1:11">
      <c r="A167" s="51" t="s">
        <v>151</v>
      </c>
      <c r="B167" s="81" t="s">
        <v>84</v>
      </c>
      <c r="C167" s="77" t="s">
        <v>243</v>
      </c>
      <c r="D167" s="51" t="s">
        <v>278</v>
      </c>
      <c r="E167" s="51" t="s">
        <v>248</v>
      </c>
      <c r="F167" s="51" t="s">
        <v>279</v>
      </c>
      <c r="G167" s="52">
        <v>1</v>
      </c>
      <c r="H167" s="53">
        <f t="shared" si="31"/>
        <v>46196</v>
      </c>
      <c r="I167" s="53">
        <f t="shared" si="23"/>
        <v>46197</v>
      </c>
      <c r="J167" s="86">
        <f>G167/$N$5</f>
        <v>1</v>
      </c>
      <c r="K167" s="102" t="s">
        <v>22</v>
      </c>
    </row>
    <row r="168" spans="1:11">
      <c r="A168" s="51" t="s">
        <v>151</v>
      </c>
      <c r="B168" s="81" t="s">
        <v>84</v>
      </c>
      <c r="C168" s="77" t="s">
        <v>249</v>
      </c>
      <c r="D168" s="51" t="s">
        <v>46</v>
      </c>
      <c r="E168" s="51" t="s">
        <v>250</v>
      </c>
      <c r="F168" s="51" t="s">
        <v>276</v>
      </c>
      <c r="G168" s="52">
        <v>1</v>
      </c>
      <c r="H168" s="53">
        <f>WORKDAY(I164,1)</f>
        <v>46191</v>
      </c>
      <c r="I168" s="53">
        <f t="shared" si="23"/>
        <v>46192</v>
      </c>
      <c r="J168" s="54">
        <f t="shared" si="30"/>
        <v>1</v>
      </c>
      <c r="K168" s="102" t="s">
        <v>22</v>
      </c>
    </row>
    <row r="169" spans="1:11">
      <c r="A169" s="51" t="s">
        <v>151</v>
      </c>
      <c r="B169" s="81" t="s">
        <v>84</v>
      </c>
      <c r="C169" s="77" t="s">
        <v>249</v>
      </c>
      <c r="D169" s="51" t="s">
        <v>46</v>
      </c>
      <c r="E169" s="51" t="s">
        <v>251</v>
      </c>
      <c r="F169" s="51" t="s">
        <v>276</v>
      </c>
      <c r="G169" s="52">
        <v>1</v>
      </c>
      <c r="H169" s="53">
        <f t="shared" si="31"/>
        <v>46195</v>
      </c>
      <c r="I169" s="53">
        <f t="shared" si="23"/>
        <v>46196</v>
      </c>
      <c r="J169" s="54">
        <f t="shared" si="30"/>
        <v>1</v>
      </c>
      <c r="K169" s="102" t="s">
        <v>22</v>
      </c>
    </row>
    <row r="170" spans="1:11">
      <c r="A170" s="51" t="s">
        <v>156</v>
      </c>
      <c r="B170" s="81" t="s">
        <v>84</v>
      </c>
      <c r="C170" s="77" t="s">
        <v>249</v>
      </c>
      <c r="D170" s="51" t="s">
        <v>50</v>
      </c>
      <c r="E170" s="51" t="s">
        <v>252</v>
      </c>
      <c r="F170" s="51" t="s">
        <v>62</v>
      </c>
      <c r="G170" s="52">
        <v>1</v>
      </c>
      <c r="H170" s="53">
        <f t="shared" si="31"/>
        <v>46197</v>
      </c>
      <c r="I170" s="53">
        <f t="shared" si="23"/>
        <v>46198</v>
      </c>
      <c r="J170" s="54">
        <f>G170/$N$8</f>
        <v>1</v>
      </c>
      <c r="K170" s="102" t="s">
        <v>22</v>
      </c>
    </row>
    <row r="171" spans="1:11">
      <c r="A171" s="51" t="s">
        <v>156</v>
      </c>
      <c r="B171" s="81" t="s">
        <v>84</v>
      </c>
      <c r="C171" s="77" t="s">
        <v>249</v>
      </c>
      <c r="D171" s="51" t="s">
        <v>50</v>
      </c>
      <c r="E171" s="51" t="s">
        <v>253</v>
      </c>
      <c r="F171" s="51" t="s">
        <v>86</v>
      </c>
      <c r="G171" s="52">
        <v>4</v>
      </c>
      <c r="H171" s="53">
        <f>WORKDAY(I169,1)</f>
        <v>46197</v>
      </c>
      <c r="I171" s="53">
        <f t="shared" si="23"/>
        <v>46203</v>
      </c>
      <c r="J171" s="54">
        <f t="shared" si="30"/>
        <v>4</v>
      </c>
      <c r="K171" s="102" t="s">
        <v>22</v>
      </c>
    </row>
    <row r="172" spans="1:11">
      <c r="A172" s="51" t="s">
        <v>156</v>
      </c>
      <c r="B172" s="81" t="s">
        <v>84</v>
      </c>
      <c r="C172" s="77" t="s">
        <v>249</v>
      </c>
      <c r="D172" s="51" t="s">
        <v>278</v>
      </c>
      <c r="E172" s="51" t="s">
        <v>254</v>
      </c>
      <c r="F172" s="51" t="s">
        <v>279</v>
      </c>
      <c r="G172" s="52">
        <v>1</v>
      </c>
      <c r="H172" s="53">
        <f t="shared" si="31"/>
        <v>46204</v>
      </c>
      <c r="I172" s="53">
        <f t="shared" si="23"/>
        <v>46205</v>
      </c>
      <c r="J172" s="86">
        <f>G172/$N$5</f>
        <v>1</v>
      </c>
      <c r="K172" s="102" t="s">
        <v>22</v>
      </c>
    </row>
    <row r="173" spans="1:11" ht="13.5">
      <c r="A173" s="51" t="s">
        <v>159</v>
      </c>
      <c r="B173" s="81" t="s">
        <v>84</v>
      </c>
      <c r="C173" s="77" t="s">
        <v>255</v>
      </c>
      <c r="D173" s="51" t="s">
        <v>46</v>
      </c>
      <c r="E173" s="77" t="s">
        <v>256</v>
      </c>
      <c r="F173" s="51" t="s">
        <v>276</v>
      </c>
      <c r="G173" s="52">
        <v>1</v>
      </c>
      <c r="H173" s="53">
        <f>WORKDAY(I169,1)</f>
        <v>46197</v>
      </c>
      <c r="I173" s="53">
        <f t="shared" ref="I173:I176" si="32">WORKDAY(H173,J173)</f>
        <v>46198</v>
      </c>
      <c r="J173" s="54">
        <f t="shared" si="30"/>
        <v>1</v>
      </c>
      <c r="K173" s="102" t="s">
        <v>22</v>
      </c>
    </row>
    <row r="174" spans="1:11" ht="13.5">
      <c r="A174" s="51" t="s">
        <v>159</v>
      </c>
      <c r="B174" s="81" t="s">
        <v>84</v>
      </c>
      <c r="C174" s="77" t="s">
        <v>255</v>
      </c>
      <c r="D174" s="51" t="s">
        <v>46</v>
      </c>
      <c r="E174" s="77" t="s">
        <v>257</v>
      </c>
      <c r="F174" s="51" t="s">
        <v>276</v>
      </c>
      <c r="G174" s="52">
        <v>1</v>
      </c>
      <c r="H174" s="53">
        <f t="shared" si="31"/>
        <v>46199</v>
      </c>
      <c r="I174" s="53">
        <f t="shared" si="32"/>
        <v>46202</v>
      </c>
      <c r="J174" s="54">
        <f t="shared" si="30"/>
        <v>1</v>
      </c>
      <c r="K174" s="102" t="s">
        <v>22</v>
      </c>
    </row>
    <row r="175" spans="1:11" ht="13.5">
      <c r="A175" s="51" t="s">
        <v>159</v>
      </c>
      <c r="B175" s="81" t="s">
        <v>84</v>
      </c>
      <c r="C175" s="77" t="s">
        <v>255</v>
      </c>
      <c r="D175" s="51" t="s">
        <v>50</v>
      </c>
      <c r="E175" s="77" t="s">
        <v>258</v>
      </c>
      <c r="F175" s="51" t="s">
        <v>18</v>
      </c>
      <c r="G175" s="52">
        <v>3</v>
      </c>
      <c r="H175" s="53">
        <f>WORKDAY(I174,1)</f>
        <v>46203</v>
      </c>
      <c r="I175" s="53">
        <f t="shared" si="32"/>
        <v>46206</v>
      </c>
      <c r="J175" s="54">
        <f t="shared" ref="J175:J180" si="33">G175/$N$5</f>
        <v>3</v>
      </c>
      <c r="K175" s="102" t="s">
        <v>22</v>
      </c>
    </row>
    <row r="176" spans="1:11" ht="13.5">
      <c r="A176" s="51" t="s">
        <v>159</v>
      </c>
      <c r="B176" s="81" t="s">
        <v>84</v>
      </c>
      <c r="C176" s="77" t="s">
        <v>255</v>
      </c>
      <c r="D176" s="51" t="s">
        <v>278</v>
      </c>
      <c r="E176" s="77" t="s">
        <v>259</v>
      </c>
      <c r="F176" s="51" t="s">
        <v>279</v>
      </c>
      <c r="G176" s="52">
        <v>1</v>
      </c>
      <c r="H176" s="53">
        <f t="shared" si="31"/>
        <v>46209</v>
      </c>
      <c r="I176" s="53">
        <f t="shared" si="32"/>
        <v>46210</v>
      </c>
      <c r="J176" s="86">
        <f t="shared" si="33"/>
        <v>1</v>
      </c>
      <c r="K176" s="102" t="s">
        <v>22</v>
      </c>
    </row>
    <row r="177" spans="1:11">
      <c r="A177" s="51" t="s">
        <v>215</v>
      </c>
      <c r="B177" s="81" t="s">
        <v>84</v>
      </c>
      <c r="C177" s="77" t="s">
        <v>260</v>
      </c>
      <c r="D177" s="51" t="s">
        <v>46</v>
      </c>
      <c r="E177" s="77" t="s">
        <v>261</v>
      </c>
      <c r="F177" s="51" t="s">
        <v>276</v>
      </c>
      <c r="G177" s="52">
        <v>1</v>
      </c>
      <c r="H177" s="53">
        <f>WORKDAY(I174,1)</f>
        <v>46203</v>
      </c>
      <c r="I177" s="53">
        <f>WORKDAY(H177,J177)</f>
        <v>46204</v>
      </c>
      <c r="J177" s="54">
        <f t="shared" si="33"/>
        <v>1</v>
      </c>
      <c r="K177" s="102" t="s">
        <v>22</v>
      </c>
    </row>
    <row r="178" spans="1:11">
      <c r="A178" s="51" t="s">
        <v>262</v>
      </c>
      <c r="B178" s="81" t="s">
        <v>84</v>
      </c>
      <c r="C178" s="77" t="s">
        <v>260</v>
      </c>
      <c r="D178" s="51" t="s">
        <v>46</v>
      </c>
      <c r="E178" s="77" t="s">
        <v>263</v>
      </c>
      <c r="F178" s="51" t="s">
        <v>276</v>
      </c>
      <c r="G178" s="52">
        <v>1</v>
      </c>
      <c r="H178" s="53">
        <f t="shared" ref="H178:H214" si="34">WORKDAY(I177,1)</f>
        <v>46205</v>
      </c>
      <c r="I178" s="53">
        <f t="shared" ref="I178" si="35">WORKDAY(H178,J178)</f>
        <v>46206</v>
      </c>
      <c r="J178" s="54">
        <f t="shared" si="33"/>
        <v>1</v>
      </c>
      <c r="K178" s="102" t="s">
        <v>22</v>
      </c>
    </row>
    <row r="179" spans="1:11">
      <c r="A179" s="51" t="s">
        <v>262</v>
      </c>
      <c r="B179" s="81" t="s">
        <v>84</v>
      </c>
      <c r="C179" s="77" t="s">
        <v>260</v>
      </c>
      <c r="D179" s="51" t="s">
        <v>50</v>
      </c>
      <c r="E179" s="77" t="s">
        <v>264</v>
      </c>
      <c r="F179" s="51" t="s">
        <v>18</v>
      </c>
      <c r="G179" s="52">
        <v>3</v>
      </c>
      <c r="H179" s="53">
        <f t="shared" si="34"/>
        <v>46209</v>
      </c>
      <c r="I179" s="53">
        <f>WORKDAY(H179,J179)</f>
        <v>46212</v>
      </c>
      <c r="J179" s="54">
        <f t="shared" si="33"/>
        <v>3</v>
      </c>
      <c r="K179" s="102" t="s">
        <v>22</v>
      </c>
    </row>
    <row r="180" spans="1:11">
      <c r="A180" s="51" t="s">
        <v>262</v>
      </c>
      <c r="B180" s="81" t="s">
        <v>84</v>
      </c>
      <c r="C180" s="77" t="s">
        <v>260</v>
      </c>
      <c r="D180" s="51" t="s">
        <v>278</v>
      </c>
      <c r="E180" s="77" t="s">
        <v>265</v>
      </c>
      <c r="F180" s="51" t="s">
        <v>279</v>
      </c>
      <c r="G180" s="52">
        <v>1</v>
      </c>
      <c r="H180" s="53">
        <f t="shared" si="34"/>
        <v>46213</v>
      </c>
      <c r="I180" s="53">
        <f t="shared" ref="I180:I182" si="36">WORKDAY(H180,J180)</f>
        <v>46216</v>
      </c>
      <c r="J180" s="86">
        <f t="shared" si="33"/>
        <v>1</v>
      </c>
      <c r="K180" s="102" t="s">
        <v>22</v>
      </c>
    </row>
    <row r="181" spans="1:11">
      <c r="A181" s="51" t="s">
        <v>262</v>
      </c>
      <c r="B181" s="81" t="s">
        <v>84</v>
      </c>
      <c r="C181" s="77" t="s">
        <v>266</v>
      </c>
      <c r="D181" s="51" t="s">
        <v>46</v>
      </c>
      <c r="E181" s="77" t="s">
        <v>267</v>
      </c>
      <c r="F181" s="51" t="s">
        <v>276</v>
      </c>
      <c r="G181" s="52">
        <v>1</v>
      </c>
      <c r="H181" s="53">
        <f>WORKDAY(I178,1)</f>
        <v>46209</v>
      </c>
      <c r="I181" s="53">
        <f t="shared" si="36"/>
        <v>46210</v>
      </c>
      <c r="J181" s="54">
        <f t="shared" ref="J181" si="37">G181/$N$5</f>
        <v>1</v>
      </c>
      <c r="K181" s="102" t="s">
        <v>22</v>
      </c>
    </row>
    <row r="182" spans="1:11">
      <c r="A182" s="51" t="s">
        <v>268</v>
      </c>
      <c r="B182" s="81" t="s">
        <v>84</v>
      </c>
      <c r="C182" s="77" t="s">
        <v>266</v>
      </c>
      <c r="D182" s="51" t="s">
        <v>46</v>
      </c>
      <c r="E182" s="77" t="s">
        <v>269</v>
      </c>
      <c r="F182" s="51" t="s">
        <v>276</v>
      </c>
      <c r="G182" s="52">
        <v>1</v>
      </c>
      <c r="H182" s="53">
        <f t="shared" si="34"/>
        <v>46211</v>
      </c>
      <c r="I182" s="53">
        <f t="shared" si="36"/>
        <v>46212</v>
      </c>
      <c r="J182" s="54">
        <f>G182/$N$5</f>
        <v>1</v>
      </c>
      <c r="K182" s="102" t="s">
        <v>22</v>
      </c>
    </row>
    <row r="183" spans="1:11">
      <c r="A183" s="51" t="s">
        <v>268</v>
      </c>
      <c r="B183" s="81" t="s">
        <v>84</v>
      </c>
      <c r="C183" s="77" t="s">
        <v>266</v>
      </c>
      <c r="D183" s="51" t="s">
        <v>50</v>
      </c>
      <c r="E183" s="77" t="s">
        <v>270</v>
      </c>
      <c r="F183" s="51" t="s">
        <v>86</v>
      </c>
      <c r="G183" s="52">
        <v>3</v>
      </c>
      <c r="H183" s="53">
        <f t="shared" si="34"/>
        <v>46213</v>
      </c>
      <c r="I183" s="53">
        <f>WORKDAY(H183,J183)</f>
        <v>46218</v>
      </c>
      <c r="J183" s="54">
        <f>G183/$N$7</f>
        <v>3</v>
      </c>
      <c r="K183" s="102" t="s">
        <v>22</v>
      </c>
    </row>
    <row r="184" spans="1:11">
      <c r="A184" s="82" t="s">
        <v>268</v>
      </c>
      <c r="B184" s="83" t="s">
        <v>84</v>
      </c>
      <c r="C184" s="88" t="s">
        <v>266</v>
      </c>
      <c r="D184" s="82" t="s">
        <v>278</v>
      </c>
      <c r="E184" s="88" t="s">
        <v>271</v>
      </c>
      <c r="F184" s="51" t="s">
        <v>279</v>
      </c>
      <c r="G184" s="84">
        <v>1</v>
      </c>
      <c r="H184" s="85">
        <f t="shared" si="34"/>
        <v>46219</v>
      </c>
      <c r="I184" s="85">
        <f>WORKDAY(H184,J184)</f>
        <v>46220</v>
      </c>
      <c r="J184" s="86">
        <f>G184/$N$5</f>
        <v>1</v>
      </c>
      <c r="K184" s="87" t="s">
        <v>22</v>
      </c>
    </row>
    <row r="185" spans="1:11" hidden="1">
      <c r="A185" s="51" t="s">
        <v>268</v>
      </c>
      <c r="B185" s="49" t="s">
        <v>274</v>
      </c>
      <c r="C185" s="77" t="s">
        <v>282</v>
      </c>
      <c r="D185" s="51" t="s">
        <v>46</v>
      </c>
      <c r="E185" s="51" t="s">
        <v>283</v>
      </c>
      <c r="F185" s="51" t="s">
        <v>276</v>
      </c>
      <c r="G185" s="52">
        <v>0.5</v>
      </c>
      <c r="H185" s="53">
        <f>WORKDAY(I182,1)</f>
        <v>46213</v>
      </c>
      <c r="I185" s="53">
        <f t="shared" ref="I185:I214" si="38">WORKDAY(H185,J185)</f>
        <v>46213</v>
      </c>
      <c r="J185" s="54">
        <f t="shared" ref="J185:J213" si="39">G185/$N$5</f>
        <v>0.5</v>
      </c>
      <c r="K185" s="102" t="s">
        <v>22</v>
      </c>
    </row>
    <row r="186" spans="1:11" hidden="1">
      <c r="A186" s="51" t="s">
        <v>268</v>
      </c>
      <c r="B186" s="49" t="s">
        <v>274</v>
      </c>
      <c r="C186" s="77" t="s">
        <v>282</v>
      </c>
      <c r="D186" s="51" t="s">
        <v>46</v>
      </c>
      <c r="E186" s="51" t="s">
        <v>284</v>
      </c>
      <c r="F186" s="51" t="s">
        <v>276</v>
      </c>
      <c r="G186" s="52">
        <v>0.5</v>
      </c>
      <c r="H186" s="53">
        <f t="shared" si="34"/>
        <v>46216</v>
      </c>
      <c r="I186" s="53">
        <f t="shared" si="38"/>
        <v>46216</v>
      </c>
      <c r="J186" s="54">
        <f t="shared" si="39"/>
        <v>0.5</v>
      </c>
      <c r="K186" s="102" t="s">
        <v>22</v>
      </c>
    </row>
    <row r="187" spans="1:11" hidden="1">
      <c r="A187" s="51" t="s">
        <v>285</v>
      </c>
      <c r="B187" s="49" t="s">
        <v>274</v>
      </c>
      <c r="C187" s="77" t="s">
        <v>282</v>
      </c>
      <c r="D187" s="51" t="s">
        <v>50</v>
      </c>
      <c r="E187" s="51" t="s">
        <v>286</v>
      </c>
      <c r="F187" s="51" t="s">
        <v>62</v>
      </c>
      <c r="G187" s="52">
        <v>3</v>
      </c>
      <c r="H187" s="53">
        <f t="shared" si="34"/>
        <v>46217</v>
      </c>
      <c r="I187" s="53">
        <f t="shared" si="38"/>
        <v>46220</v>
      </c>
      <c r="J187" s="54">
        <f>G187/$N$8</f>
        <v>3</v>
      </c>
      <c r="K187" s="102" t="s">
        <v>22</v>
      </c>
    </row>
    <row r="188" spans="1:11" hidden="1">
      <c r="A188" s="51" t="s">
        <v>285</v>
      </c>
      <c r="B188" s="49" t="s">
        <v>274</v>
      </c>
      <c r="C188" s="77" t="s">
        <v>282</v>
      </c>
      <c r="D188" s="51" t="s">
        <v>50</v>
      </c>
      <c r="E188" s="51" t="s">
        <v>287</v>
      </c>
      <c r="F188" s="51" t="s">
        <v>18</v>
      </c>
      <c r="G188" s="52">
        <v>4</v>
      </c>
      <c r="H188" s="53">
        <f>WORKDAY(I186,1)</f>
        <v>46217</v>
      </c>
      <c r="I188" s="53">
        <f t="shared" si="38"/>
        <v>46223</v>
      </c>
      <c r="J188" s="54">
        <f t="shared" si="39"/>
        <v>4</v>
      </c>
      <c r="K188" s="102" t="s">
        <v>22</v>
      </c>
    </row>
    <row r="189" spans="1:11" hidden="1">
      <c r="A189" s="51" t="s">
        <v>285</v>
      </c>
      <c r="B189" s="49" t="s">
        <v>274</v>
      </c>
      <c r="C189" s="77" t="s">
        <v>282</v>
      </c>
      <c r="D189" s="51" t="s">
        <v>278</v>
      </c>
      <c r="E189" s="51" t="s">
        <v>288</v>
      </c>
      <c r="F189" s="51" t="s">
        <v>279</v>
      </c>
      <c r="G189" s="52">
        <v>2</v>
      </c>
      <c r="H189" s="53">
        <f t="shared" si="34"/>
        <v>46224</v>
      </c>
      <c r="I189" s="53">
        <f t="shared" si="38"/>
        <v>46226</v>
      </c>
      <c r="J189" s="86">
        <f>G189/$N$5</f>
        <v>2</v>
      </c>
      <c r="K189" s="102" t="s">
        <v>22</v>
      </c>
    </row>
    <row r="190" spans="1:11" hidden="1">
      <c r="A190" s="51" t="s">
        <v>289</v>
      </c>
      <c r="B190" s="49" t="s">
        <v>274</v>
      </c>
      <c r="C190" s="77" t="s">
        <v>290</v>
      </c>
      <c r="D190" s="51" t="s">
        <v>46</v>
      </c>
      <c r="E190" s="51" t="s">
        <v>291</v>
      </c>
      <c r="F190" s="51" t="s">
        <v>276</v>
      </c>
      <c r="G190" s="52">
        <v>0.5</v>
      </c>
      <c r="H190" s="53">
        <f>WORKDAY(I186,1)</f>
        <v>46217</v>
      </c>
      <c r="I190" s="53">
        <f t="shared" si="38"/>
        <v>46217</v>
      </c>
      <c r="J190" s="54">
        <f t="shared" si="39"/>
        <v>0.5</v>
      </c>
      <c r="K190" s="102" t="s">
        <v>22</v>
      </c>
    </row>
    <row r="191" spans="1:11" hidden="1">
      <c r="A191" s="51" t="s">
        <v>289</v>
      </c>
      <c r="B191" s="49" t="s">
        <v>274</v>
      </c>
      <c r="C191" s="77" t="s">
        <v>290</v>
      </c>
      <c r="D191" s="51" t="s">
        <v>46</v>
      </c>
      <c r="E191" s="51" t="s">
        <v>292</v>
      </c>
      <c r="F191" s="51" t="s">
        <v>276</v>
      </c>
      <c r="G191" s="52">
        <v>0.5</v>
      </c>
      <c r="H191" s="53">
        <f t="shared" si="34"/>
        <v>46218</v>
      </c>
      <c r="I191" s="53">
        <f t="shared" si="38"/>
        <v>46218</v>
      </c>
      <c r="J191" s="54">
        <f t="shared" si="39"/>
        <v>0.5</v>
      </c>
      <c r="K191" s="102" t="s">
        <v>22</v>
      </c>
    </row>
    <row r="192" spans="1:11" hidden="1">
      <c r="A192" s="51" t="s">
        <v>289</v>
      </c>
      <c r="B192" s="49" t="s">
        <v>274</v>
      </c>
      <c r="C192" s="77" t="s">
        <v>290</v>
      </c>
      <c r="D192" s="51" t="s">
        <v>50</v>
      </c>
      <c r="E192" s="51" t="s">
        <v>293</v>
      </c>
      <c r="F192" s="51" t="s">
        <v>62</v>
      </c>
      <c r="G192" s="52">
        <v>1</v>
      </c>
      <c r="H192" s="53">
        <f t="shared" si="34"/>
        <v>46219</v>
      </c>
      <c r="I192" s="53">
        <f t="shared" si="38"/>
        <v>46220</v>
      </c>
      <c r="J192" s="54">
        <f>G192/$N$8</f>
        <v>1</v>
      </c>
      <c r="K192" s="102" t="s">
        <v>22</v>
      </c>
    </row>
    <row r="193" spans="1:11" hidden="1">
      <c r="A193" s="51" t="s">
        <v>289</v>
      </c>
      <c r="B193" s="49" t="s">
        <v>274</v>
      </c>
      <c r="C193" s="77" t="s">
        <v>290</v>
      </c>
      <c r="D193" s="51" t="s">
        <v>50</v>
      </c>
      <c r="E193" s="51" t="s">
        <v>294</v>
      </c>
      <c r="F193" s="51" t="s">
        <v>86</v>
      </c>
      <c r="G193" s="52">
        <v>3</v>
      </c>
      <c r="H193" s="53">
        <f>WORKDAY(I191,1)</f>
        <v>46219</v>
      </c>
      <c r="I193" s="53">
        <f t="shared" si="38"/>
        <v>46224</v>
      </c>
      <c r="J193" s="54">
        <f>G193/$N$7</f>
        <v>3</v>
      </c>
      <c r="K193" s="102" t="s">
        <v>22</v>
      </c>
    </row>
    <row r="194" spans="1:11" hidden="1">
      <c r="A194" s="51" t="s">
        <v>295</v>
      </c>
      <c r="B194" s="49" t="s">
        <v>274</v>
      </c>
      <c r="C194" s="77" t="s">
        <v>290</v>
      </c>
      <c r="D194" s="51" t="s">
        <v>278</v>
      </c>
      <c r="E194" s="51" t="s">
        <v>296</v>
      </c>
      <c r="F194" s="51" t="s">
        <v>279</v>
      </c>
      <c r="G194" s="52">
        <v>1</v>
      </c>
      <c r="H194" s="53">
        <f t="shared" si="34"/>
        <v>46225</v>
      </c>
      <c r="I194" s="53">
        <f t="shared" si="38"/>
        <v>46226</v>
      </c>
      <c r="J194" s="86">
        <f>G194/$N$5</f>
        <v>1</v>
      </c>
      <c r="K194" s="102" t="s">
        <v>22</v>
      </c>
    </row>
    <row r="195" spans="1:11" hidden="1">
      <c r="A195" s="51" t="s">
        <v>295</v>
      </c>
      <c r="B195" s="49" t="s">
        <v>274</v>
      </c>
      <c r="C195" s="77" t="s">
        <v>297</v>
      </c>
      <c r="D195" s="51" t="s">
        <v>46</v>
      </c>
      <c r="E195" s="51" t="s">
        <v>298</v>
      </c>
      <c r="F195" s="51" t="s">
        <v>276</v>
      </c>
      <c r="G195" s="52">
        <v>0.5</v>
      </c>
      <c r="H195" s="53">
        <f>WORKDAY(I191,1)</f>
        <v>46219</v>
      </c>
      <c r="I195" s="53">
        <f t="shared" si="38"/>
        <v>46219</v>
      </c>
      <c r="J195" s="54">
        <f t="shared" si="39"/>
        <v>0.5</v>
      </c>
      <c r="K195" s="102" t="s">
        <v>22</v>
      </c>
    </row>
    <row r="196" spans="1:11" hidden="1">
      <c r="A196" s="51" t="s">
        <v>295</v>
      </c>
      <c r="B196" s="49" t="s">
        <v>274</v>
      </c>
      <c r="C196" s="77" t="s">
        <v>297</v>
      </c>
      <c r="D196" s="51" t="s">
        <v>46</v>
      </c>
      <c r="E196" s="51" t="s">
        <v>299</v>
      </c>
      <c r="F196" s="51" t="s">
        <v>276</v>
      </c>
      <c r="G196" s="52">
        <v>0.5</v>
      </c>
      <c r="H196" s="53">
        <f t="shared" si="34"/>
        <v>46220</v>
      </c>
      <c r="I196" s="53">
        <f t="shared" si="38"/>
        <v>46220</v>
      </c>
      <c r="J196" s="54">
        <f t="shared" si="39"/>
        <v>0.5</v>
      </c>
      <c r="K196" s="102" t="s">
        <v>22</v>
      </c>
    </row>
    <row r="197" spans="1:11" hidden="1">
      <c r="A197" s="51" t="s">
        <v>295</v>
      </c>
      <c r="B197" s="49" t="s">
        <v>274</v>
      </c>
      <c r="C197" s="77" t="s">
        <v>297</v>
      </c>
      <c r="D197" s="51" t="s">
        <v>50</v>
      </c>
      <c r="E197" s="51" t="s">
        <v>300</v>
      </c>
      <c r="F197" s="51" t="s">
        <v>62</v>
      </c>
      <c r="G197" s="52">
        <v>2</v>
      </c>
      <c r="H197" s="53">
        <f t="shared" si="34"/>
        <v>46223</v>
      </c>
      <c r="I197" s="53">
        <f t="shared" si="38"/>
        <v>46225</v>
      </c>
      <c r="J197" s="54">
        <f>G197/$N$8</f>
        <v>2</v>
      </c>
      <c r="K197" s="102" t="s">
        <v>22</v>
      </c>
    </row>
    <row r="198" spans="1:11" hidden="1">
      <c r="A198" s="51" t="s">
        <v>295</v>
      </c>
      <c r="B198" s="49" t="s">
        <v>274</v>
      </c>
      <c r="C198" s="77" t="s">
        <v>297</v>
      </c>
      <c r="D198" s="51" t="s">
        <v>50</v>
      </c>
      <c r="E198" s="51" t="s">
        <v>301</v>
      </c>
      <c r="F198" s="51" t="s">
        <v>18</v>
      </c>
      <c r="G198" s="52">
        <v>2</v>
      </c>
      <c r="H198" s="53">
        <v>46224</v>
      </c>
      <c r="I198" s="53">
        <f t="shared" si="38"/>
        <v>46226</v>
      </c>
      <c r="J198" s="54">
        <f t="shared" si="39"/>
        <v>2</v>
      </c>
      <c r="K198" s="102" t="s">
        <v>22</v>
      </c>
    </row>
    <row r="199" spans="1:11" hidden="1">
      <c r="A199" s="51" t="s">
        <v>302</v>
      </c>
      <c r="B199" s="49" t="s">
        <v>274</v>
      </c>
      <c r="C199" s="77" t="s">
        <v>297</v>
      </c>
      <c r="D199" s="51" t="s">
        <v>278</v>
      </c>
      <c r="E199" s="51" t="s">
        <v>303</v>
      </c>
      <c r="F199" s="51" t="s">
        <v>279</v>
      </c>
      <c r="G199" s="52">
        <v>1</v>
      </c>
      <c r="H199" s="53">
        <f t="shared" si="34"/>
        <v>46227</v>
      </c>
      <c r="I199" s="53">
        <f t="shared" si="38"/>
        <v>46230</v>
      </c>
      <c r="J199" s="86">
        <f>G199/$N$5</f>
        <v>1</v>
      </c>
      <c r="K199" s="102" t="s">
        <v>22</v>
      </c>
    </row>
    <row r="200" spans="1:11" hidden="1">
      <c r="A200" s="51" t="s">
        <v>302</v>
      </c>
      <c r="B200" s="49" t="s">
        <v>274</v>
      </c>
      <c r="C200" s="77" t="s">
        <v>304</v>
      </c>
      <c r="D200" s="51" t="s">
        <v>46</v>
      </c>
      <c r="E200" s="51" t="s">
        <v>305</v>
      </c>
      <c r="F200" s="51" t="s">
        <v>276</v>
      </c>
      <c r="G200" s="52">
        <v>0.2</v>
      </c>
      <c r="H200" s="53">
        <f>WORKDAY(I196,1)</f>
        <v>46223</v>
      </c>
      <c r="I200" s="53">
        <f t="shared" si="38"/>
        <v>46223</v>
      </c>
      <c r="J200" s="54">
        <f t="shared" si="39"/>
        <v>0.2</v>
      </c>
      <c r="K200" s="102" t="s">
        <v>22</v>
      </c>
    </row>
    <row r="201" spans="1:11" hidden="1">
      <c r="A201" s="51" t="s">
        <v>302</v>
      </c>
      <c r="B201" s="49" t="s">
        <v>274</v>
      </c>
      <c r="C201" s="77" t="s">
        <v>304</v>
      </c>
      <c r="D201" s="51" t="s">
        <v>46</v>
      </c>
      <c r="E201" s="51" t="s">
        <v>306</v>
      </c>
      <c r="F201" s="51" t="s">
        <v>276</v>
      </c>
      <c r="G201" s="52">
        <v>0.3</v>
      </c>
      <c r="H201" s="53">
        <f t="shared" si="34"/>
        <v>46224</v>
      </c>
      <c r="I201" s="53">
        <f t="shared" si="38"/>
        <v>46224</v>
      </c>
      <c r="J201" s="54">
        <f t="shared" si="39"/>
        <v>0.3</v>
      </c>
      <c r="K201" s="102" t="s">
        <v>22</v>
      </c>
    </row>
    <row r="202" spans="1:11" hidden="1">
      <c r="A202" s="51" t="s">
        <v>302</v>
      </c>
      <c r="B202" s="49" t="s">
        <v>274</v>
      </c>
      <c r="C202" s="77" t="s">
        <v>304</v>
      </c>
      <c r="D202" s="51" t="s">
        <v>50</v>
      </c>
      <c r="E202" s="51" t="s">
        <v>307</v>
      </c>
      <c r="F202" s="51" t="s">
        <v>62</v>
      </c>
      <c r="G202" s="52">
        <v>0.2</v>
      </c>
      <c r="H202" s="53">
        <v>46226</v>
      </c>
      <c r="I202" s="53">
        <f t="shared" si="38"/>
        <v>46226</v>
      </c>
      <c r="J202" s="54">
        <f>G202/$N$8</f>
        <v>0.2</v>
      </c>
      <c r="K202" s="102" t="s">
        <v>22</v>
      </c>
    </row>
    <row r="203" spans="1:11" hidden="1">
      <c r="A203" s="51" t="s">
        <v>302</v>
      </c>
      <c r="B203" s="49" t="s">
        <v>274</v>
      </c>
      <c r="C203" s="77" t="s">
        <v>304</v>
      </c>
      <c r="D203" s="51" t="s">
        <v>50</v>
      </c>
      <c r="E203" s="51" t="s">
        <v>308</v>
      </c>
      <c r="F203" s="51" t="s">
        <v>86</v>
      </c>
      <c r="G203" s="52">
        <v>0.5</v>
      </c>
      <c r="H203" s="53">
        <v>46226</v>
      </c>
      <c r="I203" s="53">
        <f t="shared" si="38"/>
        <v>46226</v>
      </c>
      <c r="J203" s="54">
        <f t="shared" si="39"/>
        <v>0.5</v>
      </c>
      <c r="K203" s="102" t="s">
        <v>22</v>
      </c>
    </row>
    <row r="204" spans="1:11" hidden="1">
      <c r="A204" s="51" t="s">
        <v>302</v>
      </c>
      <c r="B204" s="49" t="s">
        <v>274</v>
      </c>
      <c r="C204" s="77" t="s">
        <v>304</v>
      </c>
      <c r="D204" s="51" t="s">
        <v>278</v>
      </c>
      <c r="E204" s="51" t="s">
        <v>309</v>
      </c>
      <c r="F204" s="51" t="s">
        <v>279</v>
      </c>
      <c r="G204" s="52">
        <v>0.3</v>
      </c>
      <c r="H204" s="53">
        <f t="shared" si="34"/>
        <v>46227</v>
      </c>
      <c r="I204" s="53">
        <f t="shared" si="38"/>
        <v>46227</v>
      </c>
      <c r="J204" s="86">
        <f>G204/$N$5</f>
        <v>0.3</v>
      </c>
      <c r="K204" s="102" t="s">
        <v>22</v>
      </c>
    </row>
    <row r="205" spans="1:11" hidden="1">
      <c r="A205" s="51" t="s">
        <v>302</v>
      </c>
      <c r="B205" s="49" t="s">
        <v>274</v>
      </c>
      <c r="C205" s="77" t="s">
        <v>310</v>
      </c>
      <c r="D205" s="51" t="s">
        <v>46</v>
      </c>
      <c r="E205" s="51" t="s">
        <v>311</v>
      </c>
      <c r="F205" s="51" t="s">
        <v>276</v>
      </c>
      <c r="G205" s="52">
        <v>0.2</v>
      </c>
      <c r="H205" s="53">
        <f>WORKDAY(I201,1)</f>
        <v>46225</v>
      </c>
      <c r="I205" s="53">
        <f t="shared" si="38"/>
        <v>46225</v>
      </c>
      <c r="J205" s="54">
        <f t="shared" si="39"/>
        <v>0.2</v>
      </c>
      <c r="K205" s="102" t="s">
        <v>22</v>
      </c>
    </row>
    <row r="206" spans="1:11" hidden="1">
      <c r="A206" s="51" t="s">
        <v>302</v>
      </c>
      <c r="B206" s="49" t="s">
        <v>274</v>
      </c>
      <c r="C206" s="77" t="s">
        <v>310</v>
      </c>
      <c r="D206" s="51" t="s">
        <v>46</v>
      </c>
      <c r="E206" s="51" t="s">
        <v>312</v>
      </c>
      <c r="F206" s="51" t="s">
        <v>276</v>
      </c>
      <c r="G206" s="52">
        <v>0.3</v>
      </c>
      <c r="H206" s="53">
        <f t="shared" si="34"/>
        <v>46226</v>
      </c>
      <c r="I206" s="53">
        <f t="shared" si="38"/>
        <v>46226</v>
      </c>
      <c r="J206" s="54">
        <f t="shared" si="39"/>
        <v>0.3</v>
      </c>
      <c r="K206" s="102" t="s">
        <v>22</v>
      </c>
    </row>
    <row r="207" spans="1:11" hidden="1">
      <c r="A207" s="51" t="s">
        <v>302</v>
      </c>
      <c r="B207" s="49" t="s">
        <v>274</v>
      </c>
      <c r="C207" s="77" t="s">
        <v>310</v>
      </c>
      <c r="D207" s="51" t="s">
        <v>50</v>
      </c>
      <c r="E207" s="51" t="s">
        <v>313</v>
      </c>
      <c r="F207" s="51" t="s">
        <v>62</v>
      </c>
      <c r="G207" s="52">
        <v>0.2</v>
      </c>
      <c r="H207" s="53">
        <f t="shared" si="34"/>
        <v>46227</v>
      </c>
      <c r="I207" s="53">
        <f t="shared" si="38"/>
        <v>46227</v>
      </c>
      <c r="J207" s="54">
        <f>G207/$N$8</f>
        <v>0.2</v>
      </c>
      <c r="K207" s="102" t="s">
        <v>22</v>
      </c>
    </row>
    <row r="208" spans="1:11" hidden="1">
      <c r="A208" s="51" t="s">
        <v>314</v>
      </c>
      <c r="B208" s="49" t="s">
        <v>274</v>
      </c>
      <c r="C208" s="77" t="s">
        <v>310</v>
      </c>
      <c r="D208" s="51" t="s">
        <v>50</v>
      </c>
      <c r="E208" s="51" t="s">
        <v>315</v>
      </c>
      <c r="F208" s="51" t="s">
        <v>18</v>
      </c>
      <c r="G208" s="52">
        <v>0.5</v>
      </c>
      <c r="H208" s="53">
        <f>WORKDAY(I206,1)</f>
        <v>46227</v>
      </c>
      <c r="I208" s="53">
        <f t="shared" si="38"/>
        <v>46227</v>
      </c>
      <c r="J208" s="54">
        <f t="shared" si="39"/>
        <v>0.5</v>
      </c>
      <c r="K208" s="102" t="s">
        <v>22</v>
      </c>
    </row>
    <row r="209" spans="1:11" hidden="1">
      <c r="A209" s="51" t="s">
        <v>314</v>
      </c>
      <c r="B209" s="49" t="s">
        <v>274</v>
      </c>
      <c r="C209" s="77" t="s">
        <v>310</v>
      </c>
      <c r="D209" s="51" t="s">
        <v>278</v>
      </c>
      <c r="E209" s="51" t="s">
        <v>316</v>
      </c>
      <c r="F209" s="51" t="s">
        <v>279</v>
      </c>
      <c r="G209" s="52">
        <v>0.3</v>
      </c>
      <c r="H209" s="53">
        <f t="shared" si="34"/>
        <v>46230</v>
      </c>
      <c r="I209" s="53">
        <f t="shared" si="38"/>
        <v>46230</v>
      </c>
      <c r="J209" s="86">
        <f>G209/$N$5</f>
        <v>0.3</v>
      </c>
      <c r="K209" s="102" t="s">
        <v>22</v>
      </c>
    </row>
    <row r="210" spans="1:11" hidden="1">
      <c r="A210" s="51" t="s">
        <v>314</v>
      </c>
      <c r="B210" s="49" t="s">
        <v>274</v>
      </c>
      <c r="C210" s="77" t="s">
        <v>317</v>
      </c>
      <c r="D210" s="51" t="s">
        <v>46</v>
      </c>
      <c r="E210" s="51" t="s">
        <v>318</v>
      </c>
      <c r="F210" s="51" t="s">
        <v>276</v>
      </c>
      <c r="G210" s="52">
        <v>1</v>
      </c>
      <c r="H210" s="53">
        <f>WORKDAY(I206,1)</f>
        <v>46227</v>
      </c>
      <c r="I210" s="53">
        <f t="shared" si="38"/>
        <v>46230</v>
      </c>
      <c r="J210" s="54">
        <f t="shared" si="39"/>
        <v>1</v>
      </c>
      <c r="K210" s="102" t="s">
        <v>22</v>
      </c>
    </row>
    <row r="211" spans="1:11" hidden="1">
      <c r="A211" s="51" t="s">
        <v>314</v>
      </c>
      <c r="B211" s="49" t="s">
        <v>274</v>
      </c>
      <c r="C211" s="77" t="s">
        <v>317</v>
      </c>
      <c r="D211" s="51" t="s">
        <v>46</v>
      </c>
      <c r="E211" s="51" t="s">
        <v>319</v>
      </c>
      <c r="F211" s="51" t="s">
        <v>276</v>
      </c>
      <c r="G211" s="52">
        <v>1</v>
      </c>
      <c r="H211" s="53">
        <f t="shared" si="34"/>
        <v>46231</v>
      </c>
      <c r="I211" s="53">
        <f t="shared" si="38"/>
        <v>46232</v>
      </c>
      <c r="J211" s="54">
        <f t="shared" si="39"/>
        <v>1</v>
      </c>
      <c r="K211" s="102" t="s">
        <v>22</v>
      </c>
    </row>
    <row r="212" spans="1:11" hidden="1">
      <c r="A212" s="51" t="s">
        <v>314</v>
      </c>
      <c r="B212" s="49" t="s">
        <v>274</v>
      </c>
      <c r="C212" s="77" t="s">
        <v>317</v>
      </c>
      <c r="D212" s="51" t="s">
        <v>50</v>
      </c>
      <c r="E212" s="51" t="s">
        <v>320</v>
      </c>
      <c r="F212" s="51" t="s">
        <v>62</v>
      </c>
      <c r="G212" s="52">
        <v>1.5</v>
      </c>
      <c r="H212" s="53">
        <f t="shared" si="34"/>
        <v>46233</v>
      </c>
      <c r="I212" s="53">
        <f t="shared" si="38"/>
        <v>46234</v>
      </c>
      <c r="J212" s="54">
        <f>G212/$N$8</f>
        <v>1.5</v>
      </c>
      <c r="K212" s="102" t="s">
        <v>22</v>
      </c>
    </row>
    <row r="213" spans="1:11" hidden="1">
      <c r="A213" s="51" t="s">
        <v>314</v>
      </c>
      <c r="B213" s="49" t="s">
        <v>274</v>
      </c>
      <c r="C213" s="77" t="s">
        <v>317</v>
      </c>
      <c r="D213" s="51" t="s">
        <v>50</v>
      </c>
      <c r="E213" s="51" t="s">
        <v>321</v>
      </c>
      <c r="F213" s="51" t="s">
        <v>18</v>
      </c>
      <c r="G213" s="52">
        <v>2.5</v>
      </c>
      <c r="H213" s="53">
        <f>WORKDAY(I211,1)</f>
        <v>46233</v>
      </c>
      <c r="I213" s="53">
        <f t="shared" si="38"/>
        <v>46237</v>
      </c>
      <c r="J213" s="54">
        <f t="shared" si="39"/>
        <v>2.5</v>
      </c>
      <c r="K213" s="102" t="s">
        <v>22</v>
      </c>
    </row>
    <row r="214" spans="1:11" hidden="1">
      <c r="A214" s="51" t="s">
        <v>330</v>
      </c>
      <c r="B214" s="49" t="s">
        <v>274</v>
      </c>
      <c r="C214" s="77" t="s">
        <v>317</v>
      </c>
      <c r="D214" s="51" t="s">
        <v>278</v>
      </c>
      <c r="E214" s="51" t="s">
        <v>322</v>
      </c>
      <c r="F214" s="51" t="s">
        <v>279</v>
      </c>
      <c r="G214" s="52">
        <v>1</v>
      </c>
      <c r="H214" s="53">
        <f t="shared" si="34"/>
        <v>46238</v>
      </c>
      <c r="I214" s="53">
        <f t="shared" si="38"/>
        <v>46239</v>
      </c>
      <c r="J214" s="86">
        <f>G214/$N$5</f>
        <v>1</v>
      </c>
      <c r="K214" s="102" t="s">
        <v>22</v>
      </c>
    </row>
    <row r="215" spans="1:11">
      <c r="G215" s="52"/>
    </row>
    <row r="216" spans="1:11">
      <c r="G216" s="52"/>
    </row>
    <row r="217" spans="1:11">
      <c r="G217" s="52"/>
    </row>
    <row r="218" spans="1:11">
      <c r="G218" s="52"/>
    </row>
    <row r="219" spans="1:11">
      <c r="G219" s="52"/>
    </row>
    <row r="220" spans="1:11">
      <c r="G220" s="52"/>
    </row>
    <row r="221" spans="1:11">
      <c r="G221" s="52"/>
    </row>
    <row r="222" spans="1:11">
      <c r="G222" s="52"/>
    </row>
    <row r="223" spans="1:11">
      <c r="G223" s="52"/>
    </row>
    <row r="224" spans="1:11">
      <c r="G224" s="52"/>
    </row>
    <row r="225" spans="7:7">
      <c r="G225" s="52"/>
    </row>
    <row r="226" spans="7:7">
      <c r="G226" s="52"/>
    </row>
    <row r="227" spans="7:7">
      <c r="G227" s="52"/>
    </row>
  </sheetData>
  <autoFilter ref="A9:N214" xr:uid="{34BB96A7-53BD-4507-B62C-6AD24A499E83}">
    <filterColumn colId="1">
      <filters>
        <filter val="Dividend Distribution"/>
        <filter val="Mandate"/>
      </filters>
    </filterColumn>
  </autoFilter>
  <mergeCells count="3">
    <mergeCell ref="C1:K1"/>
    <mergeCell ref="I3:I4"/>
    <mergeCell ref="I5:I6"/>
  </mergeCells>
  <phoneticPr fontId="1" type="noConversion"/>
  <dataValidations count="1">
    <dataValidation type="list" allowBlank="1" showInputMessage="1" showErrorMessage="1" sqref="K10:K214" xr:uid="{12A8B4B7-D9E2-42F5-9CAF-3DA9616D3865}">
      <formula1>"Not Started,In progress,Completed"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37FA-61CD-407D-8840-3619B9AEB08E}">
  <dimension ref="A1:C34"/>
  <sheetViews>
    <sheetView workbookViewId="0">
      <selection activeCell="H5" sqref="H5"/>
    </sheetView>
  </sheetViews>
  <sheetFormatPr defaultRowHeight="15.75"/>
  <cols>
    <col min="2" max="2" width="15.42578125" customWidth="1"/>
    <col min="3" max="3" width="17.42578125" customWidth="1"/>
  </cols>
  <sheetData>
    <row r="1" spans="1:3">
      <c r="A1" s="61" t="s">
        <v>334</v>
      </c>
      <c r="B1" s="61" t="s">
        <v>335</v>
      </c>
      <c r="C1" s="61" t="s">
        <v>336</v>
      </c>
    </row>
    <row r="2" spans="1:3">
      <c r="A2" t="s">
        <v>43</v>
      </c>
      <c r="B2" s="62">
        <v>45985</v>
      </c>
      <c r="C2" s="62">
        <v>45998</v>
      </c>
    </row>
    <row r="3" spans="1:3">
      <c r="A3" t="s">
        <v>53</v>
      </c>
      <c r="B3" s="62">
        <v>45999</v>
      </c>
      <c r="C3" s="62">
        <v>46012</v>
      </c>
    </row>
    <row r="4" spans="1:3">
      <c r="A4" t="s">
        <v>63</v>
      </c>
      <c r="B4" s="62">
        <v>46013</v>
      </c>
      <c r="C4" s="62">
        <v>46026</v>
      </c>
    </row>
    <row r="5" spans="1:3">
      <c r="A5" t="s">
        <v>70</v>
      </c>
      <c r="B5" s="62">
        <v>46027</v>
      </c>
      <c r="C5" s="62">
        <v>46040</v>
      </c>
    </row>
    <row r="6" spans="1:3">
      <c r="A6" t="s">
        <v>73</v>
      </c>
      <c r="B6" s="62">
        <v>46041</v>
      </c>
      <c r="C6" s="62">
        <v>46054</v>
      </c>
    </row>
    <row r="7" spans="1:3">
      <c r="A7" t="s">
        <v>80</v>
      </c>
      <c r="B7" s="62">
        <v>46055</v>
      </c>
      <c r="C7" s="62">
        <v>46068</v>
      </c>
    </row>
    <row r="8" spans="1:3">
      <c r="A8" t="s">
        <v>97</v>
      </c>
      <c r="B8" s="62">
        <v>46069</v>
      </c>
      <c r="C8" s="62">
        <v>46082</v>
      </c>
    </row>
    <row r="9" spans="1:3">
      <c r="A9" t="s">
        <v>100</v>
      </c>
      <c r="B9" s="62">
        <v>46083</v>
      </c>
      <c r="C9" s="62">
        <v>46096</v>
      </c>
    </row>
    <row r="10" spans="1:3">
      <c r="A10" t="s">
        <v>107</v>
      </c>
      <c r="B10" s="62">
        <v>46097</v>
      </c>
      <c r="C10" s="62">
        <v>46110</v>
      </c>
    </row>
    <row r="11" spans="1:3">
      <c r="A11" t="s">
        <v>113</v>
      </c>
      <c r="B11" s="62">
        <v>46111</v>
      </c>
      <c r="C11" s="62">
        <v>46124</v>
      </c>
    </row>
    <row r="12" spans="1:3">
      <c r="A12" t="s">
        <v>115</v>
      </c>
      <c r="B12" s="62">
        <v>46125</v>
      </c>
      <c r="C12" s="62">
        <v>46138</v>
      </c>
    </row>
    <row r="13" spans="1:3">
      <c r="A13" t="s">
        <v>121</v>
      </c>
      <c r="B13" s="62">
        <v>46139</v>
      </c>
      <c r="C13" s="62">
        <v>46152</v>
      </c>
    </row>
    <row r="14" spans="1:3">
      <c r="A14" t="s">
        <v>125</v>
      </c>
      <c r="B14" s="62">
        <v>46153</v>
      </c>
      <c r="C14" s="62">
        <v>46166</v>
      </c>
    </row>
    <row r="15" spans="1:3">
      <c r="A15" t="s">
        <v>149</v>
      </c>
      <c r="B15" s="62">
        <v>46167</v>
      </c>
      <c r="C15" s="62">
        <v>46180</v>
      </c>
    </row>
    <row r="16" spans="1:3">
      <c r="A16" t="s">
        <v>151</v>
      </c>
      <c r="B16" s="62">
        <v>46181</v>
      </c>
      <c r="C16" s="62">
        <v>46194</v>
      </c>
    </row>
    <row r="17" spans="1:3">
      <c r="A17" t="s">
        <v>156</v>
      </c>
      <c r="B17" s="62">
        <v>46195</v>
      </c>
      <c r="C17" s="62">
        <v>46208</v>
      </c>
    </row>
    <row r="18" spans="1:3">
      <c r="A18" t="s">
        <v>159</v>
      </c>
      <c r="B18" s="62">
        <v>46209</v>
      </c>
      <c r="C18" s="62">
        <v>46222</v>
      </c>
    </row>
    <row r="19" spans="1:3">
      <c r="A19" t="s">
        <v>164</v>
      </c>
      <c r="B19" s="62">
        <v>46223</v>
      </c>
      <c r="C19" s="62">
        <v>46236</v>
      </c>
    </row>
    <row r="20" spans="1:3">
      <c r="A20" t="s">
        <v>166</v>
      </c>
      <c r="B20" s="62">
        <v>46237</v>
      </c>
      <c r="C20" s="62">
        <v>46250</v>
      </c>
    </row>
    <row r="21" spans="1:3">
      <c r="A21" t="s">
        <v>172</v>
      </c>
      <c r="B21" s="62">
        <v>46251</v>
      </c>
      <c r="C21" s="62">
        <v>46264</v>
      </c>
    </row>
    <row r="22" spans="1:3">
      <c r="A22" t="s">
        <v>208</v>
      </c>
      <c r="B22" s="62">
        <v>46265</v>
      </c>
      <c r="C22" s="62">
        <v>46278</v>
      </c>
    </row>
    <row r="23" spans="1:3">
      <c r="A23" t="s">
        <v>215</v>
      </c>
      <c r="B23" s="62">
        <v>46279</v>
      </c>
      <c r="C23" s="62">
        <v>46292</v>
      </c>
    </row>
    <row r="24" spans="1:3">
      <c r="A24" t="s">
        <v>262</v>
      </c>
      <c r="B24" s="62">
        <v>46293</v>
      </c>
      <c r="C24" s="62">
        <v>46306</v>
      </c>
    </row>
    <row r="25" spans="1:3">
      <c r="A25" t="s">
        <v>268</v>
      </c>
      <c r="B25" s="62">
        <v>46307</v>
      </c>
      <c r="C25" s="62">
        <v>46320</v>
      </c>
    </row>
    <row r="26" spans="1:3">
      <c r="A26" t="s">
        <v>285</v>
      </c>
      <c r="B26" s="62">
        <v>46321</v>
      </c>
      <c r="C26" s="62">
        <v>46334</v>
      </c>
    </row>
    <row r="27" spans="1:3">
      <c r="A27" t="s">
        <v>289</v>
      </c>
      <c r="B27" s="62">
        <v>46335</v>
      </c>
      <c r="C27" s="62">
        <v>46348</v>
      </c>
    </row>
    <row r="28" spans="1:3">
      <c r="A28" t="s">
        <v>295</v>
      </c>
      <c r="B28" s="62">
        <v>46349</v>
      </c>
      <c r="C28" s="62">
        <v>46362</v>
      </c>
    </row>
    <row r="29" spans="1:3">
      <c r="A29" t="s">
        <v>302</v>
      </c>
      <c r="B29" s="62">
        <v>46363</v>
      </c>
      <c r="C29" s="62">
        <v>46376</v>
      </c>
    </row>
    <row r="30" spans="1:3">
      <c r="A30" t="s">
        <v>314</v>
      </c>
      <c r="B30" s="62">
        <v>46377</v>
      </c>
      <c r="C30" s="62">
        <v>46387</v>
      </c>
    </row>
    <row r="31" spans="1:3">
      <c r="A31" t="s">
        <v>330</v>
      </c>
      <c r="B31" s="62">
        <v>46388</v>
      </c>
      <c r="C31" s="62">
        <v>46402</v>
      </c>
    </row>
    <row r="32" spans="1:3">
      <c r="A32" t="s">
        <v>337</v>
      </c>
      <c r="B32" s="62">
        <v>46405</v>
      </c>
      <c r="C32" s="62">
        <v>46416</v>
      </c>
    </row>
    <row r="33" spans="1:3">
      <c r="A33" t="s">
        <v>338</v>
      </c>
      <c r="B33" s="62">
        <v>46419</v>
      </c>
      <c r="C33" s="62">
        <v>46437</v>
      </c>
    </row>
    <row r="34" spans="1:3">
      <c r="A34" t="s">
        <v>339</v>
      </c>
      <c r="B34" s="62">
        <v>46440</v>
      </c>
      <c r="C34" s="62">
        <v>46451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6D9A-36C1-496B-90DD-74A8C461522E}">
  <sheetPr filterMode="1"/>
  <dimension ref="A1:O226"/>
  <sheetViews>
    <sheetView zoomScale="85" zoomScaleNormal="85" workbookViewId="0">
      <pane ySplit="8" topLeftCell="A134" activePane="bottomLeft" state="frozen"/>
      <selection pane="bottomLeft" activeCell="E191" sqref="E191"/>
    </sheetView>
  </sheetViews>
  <sheetFormatPr defaultColWidth="8.7109375" defaultRowHeight="12.75"/>
  <cols>
    <col min="1" max="1" width="9.42578125" style="49" customWidth="1"/>
    <col min="2" max="2" width="11.140625" style="49" customWidth="1"/>
    <col min="3" max="3" width="38" style="49" customWidth="1"/>
    <col min="4" max="4" width="15.28515625" style="49" customWidth="1"/>
    <col min="5" max="5" width="47.42578125" style="49" customWidth="1"/>
    <col min="6" max="6" width="13.42578125" style="49" customWidth="1"/>
    <col min="7" max="7" width="12.85546875" style="49" customWidth="1"/>
    <col min="8" max="8" width="12" style="49" customWidth="1"/>
    <col min="9" max="9" width="11" style="49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6384" width="8.7109375" style="49"/>
  </cols>
  <sheetData>
    <row r="1" spans="1:15" s="46" customFormat="1" ht="24" customHeight="1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5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5">
      <c r="B3" s="67" t="s">
        <v>6</v>
      </c>
      <c r="C3" s="68">
        <f>COUNTA(E15:E1048576)</f>
        <v>199</v>
      </c>
      <c r="D3" s="68"/>
      <c r="E3" s="45"/>
      <c r="F3" s="69" t="s">
        <v>7</v>
      </c>
      <c r="G3" s="70" t="e">
        <f>G5-G4+1</f>
        <v>#DIV/0!</v>
      </c>
      <c r="H3" s="45"/>
      <c r="I3" s="120" t="s">
        <v>8</v>
      </c>
      <c r="J3" s="45"/>
      <c r="M3" s="60" t="s">
        <v>11</v>
      </c>
      <c r="N3" s="50" t="s">
        <v>12</v>
      </c>
    </row>
    <row r="4" spans="1:15" s="46" customFormat="1" ht="15">
      <c r="B4" s="71" t="s">
        <v>9</v>
      </c>
      <c r="C4" s="72">
        <f>COUNTIF(K15:K1048576,B4)</f>
        <v>4</v>
      </c>
      <c r="D4" s="72"/>
      <c r="E4" s="45"/>
      <c r="F4" s="73" t="s">
        <v>10</v>
      </c>
      <c r="G4" s="74" t="e">
        <f>MIN(H9:H1048576)</f>
        <v>#DIV/0!</v>
      </c>
      <c r="H4" s="45"/>
      <c r="I4" s="121"/>
      <c r="J4" s="45"/>
      <c r="K4" s="89">
        <f>SUM(G9:G14)</f>
        <v>15</v>
      </c>
      <c r="M4" s="56" t="s">
        <v>276</v>
      </c>
      <c r="N4" s="57">
        <v>1</v>
      </c>
    </row>
    <row r="5" spans="1:15" s="46" customFormat="1" ht="15">
      <c r="B5" s="71" t="s">
        <v>16</v>
      </c>
      <c r="C5" s="72">
        <f>COUNTIF(K15:K1048576,B5)</f>
        <v>5</v>
      </c>
      <c r="D5" s="72"/>
      <c r="E5" s="45"/>
      <c r="F5" s="73" t="s">
        <v>17</v>
      </c>
      <c r="G5" s="74" t="e">
        <f>MAX(I9:I1048576)</f>
        <v>#DIV/0!</v>
      </c>
      <c r="H5" s="45"/>
      <c r="I5" s="122"/>
      <c r="J5" s="45"/>
      <c r="K5" s="89">
        <f>SUM(G9:G213)</f>
        <v>408</v>
      </c>
      <c r="M5" s="56" t="s">
        <v>18</v>
      </c>
      <c r="N5" s="57">
        <v>1</v>
      </c>
    </row>
    <row r="6" spans="1:15" s="46" customFormat="1" ht="15">
      <c r="B6" s="71" t="s">
        <v>22</v>
      </c>
      <c r="C6" s="72">
        <f>COUNTIF(K15:K1048576,B6)</f>
        <v>190</v>
      </c>
      <c r="D6" s="72"/>
      <c r="E6" s="45"/>
      <c r="F6" s="73"/>
      <c r="G6" s="75"/>
      <c r="H6" s="45"/>
      <c r="I6" s="122"/>
      <c r="J6" s="45"/>
      <c r="M6" s="56" t="s">
        <v>279</v>
      </c>
      <c r="N6" s="57">
        <v>1</v>
      </c>
    </row>
    <row r="7" spans="1:15" s="46" customFormat="1" ht="1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90">
        <f>K4/K5</f>
        <v>3.6764705882352942E-2</v>
      </c>
      <c r="M7" s="56" t="s">
        <v>28</v>
      </c>
      <c r="N7" s="57">
        <v>1</v>
      </c>
    </row>
    <row r="8" spans="1:15" ht="25.5">
      <c r="A8" s="47" t="s">
        <v>272</v>
      </c>
      <c r="B8" s="47" t="s">
        <v>35</v>
      </c>
      <c r="C8" s="47" t="s">
        <v>36</v>
      </c>
      <c r="D8" s="47" t="s">
        <v>37</v>
      </c>
      <c r="E8" s="47" t="s">
        <v>38</v>
      </c>
      <c r="F8" s="47" t="s">
        <v>40</v>
      </c>
      <c r="G8" s="59" t="s">
        <v>41</v>
      </c>
      <c r="H8" s="48" t="s">
        <v>10</v>
      </c>
      <c r="I8" s="48" t="s">
        <v>17</v>
      </c>
      <c r="J8" s="48" t="s">
        <v>7</v>
      </c>
      <c r="K8" s="48" t="s">
        <v>42</v>
      </c>
    </row>
    <row r="9" spans="1:15" hidden="1">
      <c r="A9" s="51" t="s">
        <v>273</v>
      </c>
      <c r="B9" s="49" t="s">
        <v>274</v>
      </c>
      <c r="C9" s="51" t="s">
        <v>275</v>
      </c>
      <c r="D9" s="51" t="s">
        <v>46</v>
      </c>
      <c r="E9" s="51" t="s">
        <v>83</v>
      </c>
      <c r="F9" s="51" t="s">
        <v>18</v>
      </c>
      <c r="G9" s="52">
        <v>3</v>
      </c>
      <c r="H9" s="53">
        <v>45915</v>
      </c>
      <c r="I9" s="53">
        <f t="shared" ref="I9:I10" si="0">WORKDAY(H9,J9)</f>
        <v>45918</v>
      </c>
      <c r="J9" s="54">
        <f>G9/$N$4</f>
        <v>3</v>
      </c>
      <c r="K9" s="102" t="s">
        <v>9</v>
      </c>
    </row>
    <row r="10" spans="1:15" hidden="1">
      <c r="A10" s="51" t="s">
        <v>273</v>
      </c>
      <c r="B10" s="49" t="s">
        <v>274</v>
      </c>
      <c r="C10" s="51" t="s">
        <v>45</v>
      </c>
      <c r="D10" s="51" t="s">
        <v>46</v>
      </c>
      <c r="E10" s="51" t="s">
        <v>277</v>
      </c>
      <c r="F10" s="51" t="s">
        <v>18</v>
      </c>
      <c r="G10" s="52">
        <v>3</v>
      </c>
      <c r="H10" s="53">
        <f>WORKDAY(I9,1)</f>
        <v>45919</v>
      </c>
      <c r="I10" s="53">
        <f t="shared" si="0"/>
        <v>45924</v>
      </c>
      <c r="J10" s="54">
        <f t="shared" ref="J10" si="1">G10/$N$4</f>
        <v>3</v>
      </c>
      <c r="K10" s="102" t="s">
        <v>9</v>
      </c>
    </row>
    <row r="11" spans="1:15">
      <c r="A11" s="51" t="str" cm="1">
        <f t="array" ref="A11">INDEX('Sprint Calendar'!$A:$A, MATCH(1, ('Project Planning (2)'!I15 &gt;= 'Sprint Calendar'!$B:$B) * ('Project Planning (2)'!H15 &lt;= 'Sprint Calendar'!$C:$C), 0))</f>
        <v>Sprint 5</v>
      </c>
      <c r="B11" s="81" t="s">
        <v>44</v>
      </c>
      <c r="C11" s="51" t="s">
        <v>45</v>
      </c>
      <c r="D11" s="51" t="s">
        <v>46</v>
      </c>
      <c r="E11" s="51" t="s">
        <v>47</v>
      </c>
      <c r="F11" s="51" t="s">
        <v>276</v>
      </c>
      <c r="G11" s="52">
        <v>3</v>
      </c>
      <c r="H11" s="53">
        <v>46023</v>
      </c>
      <c r="I11" s="53">
        <f t="shared" ref="I11:I42" si="2">WORKDAY(H11,J11)</f>
        <v>46028</v>
      </c>
      <c r="J11" s="54">
        <f t="shared" ref="J11:J42" si="3">G11/$N$4</f>
        <v>3</v>
      </c>
      <c r="K11" s="55" t="s">
        <v>16</v>
      </c>
    </row>
    <row r="12" spans="1:15">
      <c r="A12" s="51" t="str" cm="1">
        <f t="array" ref="A12">INDEX('Sprint Calendar'!$A:$A, MATCH(1, ('Project Planning (2)'!I16 &gt;= 'Sprint Calendar'!$B:$B) * ('Project Planning (2)'!H16 &lt;= 'Sprint Calendar'!$C:$C), 0))</f>
        <v>Sprint 5</v>
      </c>
      <c r="B12" s="81" t="s">
        <v>44</v>
      </c>
      <c r="C12" s="51" t="s">
        <v>45</v>
      </c>
      <c r="D12" s="51" t="s">
        <v>46</v>
      </c>
      <c r="E12" s="51" t="s">
        <v>49</v>
      </c>
      <c r="F12" s="51" t="s">
        <v>276</v>
      </c>
      <c r="G12" s="52">
        <v>3</v>
      </c>
      <c r="H12" s="53">
        <f t="shared" ref="H12:H43" si="4">WORKDAY(I11,1)</f>
        <v>46029</v>
      </c>
      <c r="I12" s="53">
        <f t="shared" si="2"/>
        <v>46034</v>
      </c>
      <c r="J12" s="54">
        <f t="shared" si="3"/>
        <v>3</v>
      </c>
      <c r="K12" s="55" t="s">
        <v>16</v>
      </c>
    </row>
    <row r="13" spans="1:15">
      <c r="A13" s="51" t="str" cm="1">
        <f t="array" ref="A13">INDEX('Sprint Calendar'!$A:$A, MATCH(1, ('Project Planning (2)'!I21 &gt;= 'Sprint Calendar'!$B:$B) * ('Project Planning (2)'!H21 &lt;= 'Sprint Calendar'!$C:$C), 0))</f>
        <v>Sprint 6</v>
      </c>
      <c r="B13" s="81" t="s">
        <v>44</v>
      </c>
      <c r="C13" s="51" t="s">
        <v>58</v>
      </c>
      <c r="D13" s="51" t="s">
        <v>46</v>
      </c>
      <c r="E13" s="51" t="s">
        <v>59</v>
      </c>
      <c r="F13" s="51" t="s">
        <v>276</v>
      </c>
      <c r="G13" s="52">
        <v>1.5</v>
      </c>
      <c r="H13" s="53">
        <f t="shared" si="4"/>
        <v>46035</v>
      </c>
      <c r="I13" s="53">
        <f t="shared" si="2"/>
        <v>46036</v>
      </c>
      <c r="J13" s="54">
        <f t="shared" si="3"/>
        <v>1.5</v>
      </c>
      <c r="K13" s="55" t="s">
        <v>16</v>
      </c>
    </row>
    <row r="14" spans="1:15">
      <c r="A14" s="51" t="str" cm="1">
        <f t="array" ref="A14">INDEX('Sprint Calendar'!$A:$A, MATCH(1, ('Project Planning (2)'!I22 &gt;= 'Sprint Calendar'!$B:$B) * ('Project Planning (2)'!H22 &lt;= 'Sprint Calendar'!$C:$C), 0))</f>
        <v>Sprint 6</v>
      </c>
      <c r="B14" s="81" t="s">
        <v>44</v>
      </c>
      <c r="C14" s="51" t="s">
        <v>58</v>
      </c>
      <c r="D14" s="51" t="s">
        <v>46</v>
      </c>
      <c r="E14" s="51" t="s">
        <v>60</v>
      </c>
      <c r="F14" s="51" t="s">
        <v>276</v>
      </c>
      <c r="G14" s="52">
        <v>1.5</v>
      </c>
      <c r="H14" s="53">
        <f t="shared" si="4"/>
        <v>46037</v>
      </c>
      <c r="I14" s="53">
        <f t="shared" si="2"/>
        <v>46038</v>
      </c>
      <c r="J14" s="54">
        <f t="shared" si="3"/>
        <v>1.5</v>
      </c>
      <c r="K14" s="55" t="s">
        <v>16</v>
      </c>
    </row>
    <row r="15" spans="1:15">
      <c r="A15" s="51" t="str" cm="1">
        <f t="array" ref="A15">INDEX('Sprint Calendar'!$A:$A, MATCH(1, ('Project Planning (2)'!I26 &gt;= 'Sprint Calendar'!$B:$B) * ('Project Planning (2)'!H26 &lt;= 'Sprint Calendar'!$C:$C), 0))</f>
        <v>Sprint 8</v>
      </c>
      <c r="B15" s="81" t="s">
        <v>44</v>
      </c>
      <c r="C15" s="51" t="s">
        <v>67</v>
      </c>
      <c r="D15" s="51" t="s">
        <v>46</v>
      </c>
      <c r="E15" s="51" t="s">
        <v>68</v>
      </c>
      <c r="F15" s="51" t="s">
        <v>276</v>
      </c>
      <c r="G15" s="52">
        <v>1.5</v>
      </c>
      <c r="H15" s="53">
        <f t="shared" si="4"/>
        <v>46041</v>
      </c>
      <c r="I15" s="53">
        <f t="shared" si="2"/>
        <v>46042</v>
      </c>
      <c r="J15" s="54">
        <f t="shared" si="3"/>
        <v>1.5</v>
      </c>
      <c r="K15" s="55" t="s">
        <v>16</v>
      </c>
    </row>
    <row r="16" spans="1:15">
      <c r="A16" s="51" t="str" cm="1">
        <f t="array" ref="A16">INDEX('Sprint Calendar'!$A:$A, MATCH(1, ('Project Planning (2)'!I27 &gt;= 'Sprint Calendar'!$B:$B) * ('Project Planning (2)'!H27 &lt;= 'Sprint Calendar'!$C:$C), 0))</f>
        <v>Sprint 8</v>
      </c>
      <c r="B16" s="81" t="s">
        <v>44</v>
      </c>
      <c r="C16" s="51" t="s">
        <v>67</v>
      </c>
      <c r="D16" s="51" t="s">
        <v>46</v>
      </c>
      <c r="E16" s="51" t="s">
        <v>69</v>
      </c>
      <c r="F16" s="51" t="s">
        <v>276</v>
      </c>
      <c r="G16" s="52">
        <v>1.5</v>
      </c>
      <c r="H16" s="53">
        <f t="shared" si="4"/>
        <v>46043</v>
      </c>
      <c r="I16" s="53">
        <f t="shared" si="2"/>
        <v>46044</v>
      </c>
      <c r="J16" s="54">
        <f t="shared" si="3"/>
        <v>1.5</v>
      </c>
      <c r="K16" s="55" t="s">
        <v>16</v>
      </c>
    </row>
    <row r="17" spans="1:11">
      <c r="A17" s="51" t="str" cm="1">
        <f t="array" ref="A17">INDEX('Sprint Calendar'!$A:$A, MATCH(1, ('Project Planning (2)'!I31 &gt;= 'Sprint Calendar'!$B:$B) * ('Project Planning (2)'!H31 &lt;= 'Sprint Calendar'!$C:$C), 0))</f>
        <v>Sprint 9</v>
      </c>
      <c r="B17" s="81" t="s">
        <v>44</v>
      </c>
      <c r="C17" s="51" t="s">
        <v>75</v>
      </c>
      <c r="D17" s="51" t="s">
        <v>46</v>
      </c>
      <c r="E17" s="51" t="s">
        <v>76</v>
      </c>
      <c r="F17" s="51" t="s">
        <v>276</v>
      </c>
      <c r="G17" s="52">
        <v>1.5</v>
      </c>
      <c r="H17" s="53">
        <f t="shared" si="4"/>
        <v>46045</v>
      </c>
      <c r="I17" s="53">
        <f t="shared" si="2"/>
        <v>46048</v>
      </c>
      <c r="J17" s="54">
        <f t="shared" si="3"/>
        <v>1.5</v>
      </c>
      <c r="K17" s="55" t="s">
        <v>16</v>
      </c>
    </row>
    <row r="18" spans="1:11">
      <c r="A18" s="51" t="str" cm="1">
        <f t="array" ref="A18">INDEX('Sprint Calendar'!$A:$A, MATCH(1, ('Project Planning (2)'!I32 &gt;= 'Sprint Calendar'!$B:$B) * ('Project Planning (2)'!H32 &lt;= 'Sprint Calendar'!$C:$C), 0))</f>
        <v>Sprint 9</v>
      </c>
      <c r="B18" s="81" t="s">
        <v>44</v>
      </c>
      <c r="C18" s="51" t="s">
        <v>75</v>
      </c>
      <c r="D18" s="51" t="s">
        <v>46</v>
      </c>
      <c r="E18" s="51" t="s">
        <v>77</v>
      </c>
      <c r="F18" s="51" t="s">
        <v>276</v>
      </c>
      <c r="G18" s="52">
        <v>1.5</v>
      </c>
      <c r="H18" s="53">
        <f t="shared" si="4"/>
        <v>46049</v>
      </c>
      <c r="I18" s="53">
        <f t="shared" si="2"/>
        <v>46050</v>
      </c>
      <c r="J18" s="54">
        <f t="shared" si="3"/>
        <v>1.5</v>
      </c>
      <c r="K18" s="55" t="s">
        <v>16</v>
      </c>
    </row>
    <row r="19" spans="1:11">
      <c r="A19" s="51" t="str" cm="1">
        <f t="array" ref="A19">INDEX('Sprint Calendar'!$A:$A, MATCH(1, ('Project Planning (2)'!I36 &gt;= 'Sprint Calendar'!$B:$B) * ('Project Planning (2)'!H36 &lt;= 'Sprint Calendar'!$C:$C), 0))</f>
        <v>Sprint 10</v>
      </c>
      <c r="B19" s="81" t="s">
        <v>82</v>
      </c>
      <c r="C19" s="51" t="s">
        <v>45</v>
      </c>
      <c r="D19" s="51" t="s">
        <v>46</v>
      </c>
      <c r="E19" s="51" t="s">
        <v>83</v>
      </c>
      <c r="F19" s="51" t="s">
        <v>276</v>
      </c>
      <c r="G19" s="52">
        <v>3</v>
      </c>
      <c r="H19" s="53">
        <f t="shared" si="4"/>
        <v>46051</v>
      </c>
      <c r="I19" s="53">
        <f t="shared" si="2"/>
        <v>46056</v>
      </c>
      <c r="J19" s="54">
        <f t="shared" si="3"/>
        <v>3</v>
      </c>
      <c r="K19" s="55" t="s">
        <v>22</v>
      </c>
    </row>
    <row r="20" spans="1:11">
      <c r="A20" s="51" t="str" cm="1">
        <f t="array" ref="A20">INDEX('Sprint Calendar'!$A:$A, MATCH(1, ('Project Planning (2)'!I37 &gt;= 'Sprint Calendar'!$B:$B) * ('Project Planning (2)'!H37 &lt;= 'Sprint Calendar'!$C:$C), 0))</f>
        <v>Sprint 10</v>
      </c>
      <c r="B20" s="81" t="s">
        <v>84</v>
      </c>
      <c r="C20" s="51" t="s">
        <v>45</v>
      </c>
      <c r="D20" s="51" t="s">
        <v>46</v>
      </c>
      <c r="E20" s="51" t="s">
        <v>85</v>
      </c>
      <c r="F20" s="51" t="s">
        <v>276</v>
      </c>
      <c r="G20" s="52">
        <v>3</v>
      </c>
      <c r="H20" s="53">
        <f t="shared" si="4"/>
        <v>46057</v>
      </c>
      <c r="I20" s="53">
        <f t="shared" si="2"/>
        <v>46062</v>
      </c>
      <c r="J20" s="54">
        <f t="shared" si="3"/>
        <v>3</v>
      </c>
      <c r="K20" s="55" t="s">
        <v>22</v>
      </c>
    </row>
    <row r="21" spans="1:11">
      <c r="A21" s="51" t="str" cm="1">
        <f t="array" ref="A21">INDEX('Sprint Calendar'!$A:$A, MATCH(1, ('Project Planning (2)'!I42 &gt;= 'Sprint Calendar'!$B:$B) * ('Project Planning (2)'!H42 &lt;= 'Sprint Calendar'!$C:$C), 0))</f>
        <v>Sprint 12</v>
      </c>
      <c r="B21" s="81" t="s">
        <v>84</v>
      </c>
      <c r="C21" s="77" t="s">
        <v>87</v>
      </c>
      <c r="D21" s="51" t="s">
        <v>46</v>
      </c>
      <c r="E21" s="51" t="s">
        <v>88</v>
      </c>
      <c r="F21" s="51" t="s">
        <v>276</v>
      </c>
      <c r="G21" s="52">
        <v>2</v>
      </c>
      <c r="H21" s="53">
        <f t="shared" si="4"/>
        <v>46063</v>
      </c>
      <c r="I21" s="53">
        <f t="shared" si="2"/>
        <v>46065</v>
      </c>
      <c r="J21" s="54">
        <f t="shared" si="3"/>
        <v>2</v>
      </c>
      <c r="K21" s="55" t="s">
        <v>22</v>
      </c>
    </row>
    <row r="22" spans="1:11">
      <c r="A22" s="51" t="str" cm="1">
        <f t="array" ref="A22">INDEX('Sprint Calendar'!$A:$A, MATCH(1, ('Project Planning (2)'!I43 &gt;= 'Sprint Calendar'!$B:$B) * ('Project Planning (2)'!H43 &lt;= 'Sprint Calendar'!$C:$C), 0))</f>
        <v>Sprint 12</v>
      </c>
      <c r="B22" s="81" t="s">
        <v>84</v>
      </c>
      <c r="C22" s="77" t="s">
        <v>87</v>
      </c>
      <c r="D22" s="51" t="s">
        <v>46</v>
      </c>
      <c r="E22" s="51" t="s">
        <v>89</v>
      </c>
      <c r="F22" s="51" t="s">
        <v>276</v>
      </c>
      <c r="G22" s="52">
        <v>2</v>
      </c>
      <c r="H22" s="53">
        <f t="shared" si="4"/>
        <v>46066</v>
      </c>
      <c r="I22" s="53">
        <f t="shared" si="2"/>
        <v>46070</v>
      </c>
      <c r="J22" s="54">
        <f t="shared" si="3"/>
        <v>2</v>
      </c>
      <c r="K22" s="55" t="s">
        <v>22</v>
      </c>
    </row>
    <row r="23" spans="1:11">
      <c r="A23" s="51" t="str" cm="1">
        <f t="array" ref="A23">INDEX('Sprint Calendar'!$A:$A, MATCH(1, ('Project Planning (2)'!I47 &gt;= 'Sprint Calendar'!$B:$B) * ('Project Planning (2)'!H47 &lt;= 'Sprint Calendar'!$C:$C), 0))</f>
        <v>Sprint 12</v>
      </c>
      <c r="B23" s="81" t="s">
        <v>84</v>
      </c>
      <c r="C23" s="77" t="s">
        <v>93</v>
      </c>
      <c r="D23" s="51" t="s">
        <v>46</v>
      </c>
      <c r="E23" s="51" t="s">
        <v>94</v>
      </c>
      <c r="F23" s="51" t="s">
        <v>276</v>
      </c>
      <c r="G23" s="52">
        <v>2</v>
      </c>
      <c r="H23" s="53">
        <f t="shared" si="4"/>
        <v>46071</v>
      </c>
      <c r="I23" s="53">
        <f t="shared" si="2"/>
        <v>46073</v>
      </c>
      <c r="J23" s="54">
        <f t="shared" si="3"/>
        <v>2</v>
      </c>
      <c r="K23" s="55" t="s">
        <v>22</v>
      </c>
    </row>
    <row r="24" spans="1:11">
      <c r="A24" s="51" t="str" cm="1">
        <f t="array" ref="A24">INDEX('Sprint Calendar'!$A:$A, MATCH(1, ('Project Planning (2)'!I48 &gt;= 'Sprint Calendar'!$B:$B) * ('Project Planning (2)'!H48 &lt;= 'Sprint Calendar'!$C:$C), 0))</f>
        <v>Sprint 13</v>
      </c>
      <c r="B24" s="81" t="s">
        <v>84</v>
      </c>
      <c r="C24" s="77" t="s">
        <v>93</v>
      </c>
      <c r="D24" s="51" t="s">
        <v>46</v>
      </c>
      <c r="E24" s="51" t="s">
        <v>95</v>
      </c>
      <c r="F24" s="51" t="s">
        <v>276</v>
      </c>
      <c r="G24" s="52">
        <v>2</v>
      </c>
      <c r="H24" s="53">
        <f t="shared" si="4"/>
        <v>46076</v>
      </c>
      <c r="I24" s="53">
        <f t="shared" si="2"/>
        <v>46078</v>
      </c>
      <c r="J24" s="54">
        <f t="shared" si="3"/>
        <v>2</v>
      </c>
      <c r="K24" s="55" t="s">
        <v>22</v>
      </c>
    </row>
    <row r="25" spans="1:11">
      <c r="A25" s="51" t="str" cm="1">
        <f t="array" ref="A25">INDEX('Sprint Calendar'!$A:$A, MATCH(1, ('Project Planning (2)'!I52 &gt;= 'Sprint Calendar'!$B:$B) * ('Project Planning (2)'!H52 &lt;= 'Sprint Calendar'!$C:$C), 0))</f>
        <v>Sprint 14</v>
      </c>
      <c r="B25" s="81" t="s">
        <v>84</v>
      </c>
      <c r="C25" s="77" t="s">
        <v>102</v>
      </c>
      <c r="D25" s="51" t="s">
        <v>46</v>
      </c>
      <c r="E25" s="51" t="s">
        <v>103</v>
      </c>
      <c r="F25" s="51" t="s">
        <v>276</v>
      </c>
      <c r="G25" s="52">
        <v>2</v>
      </c>
      <c r="H25" s="53">
        <f t="shared" si="4"/>
        <v>46079</v>
      </c>
      <c r="I25" s="53">
        <f t="shared" si="2"/>
        <v>46083</v>
      </c>
      <c r="J25" s="54">
        <f t="shared" si="3"/>
        <v>2</v>
      </c>
      <c r="K25" s="55" t="s">
        <v>22</v>
      </c>
    </row>
    <row r="26" spans="1:11">
      <c r="A26" s="51" t="str" cm="1">
        <f t="array" ref="A26">INDEX('Sprint Calendar'!$A:$A, MATCH(1, ('Project Planning (2)'!I53 &gt;= 'Sprint Calendar'!$B:$B) * ('Project Planning (2)'!H53 &lt;= 'Sprint Calendar'!$C:$C), 0))</f>
        <v>Sprint 14</v>
      </c>
      <c r="B26" s="81" t="s">
        <v>84</v>
      </c>
      <c r="C26" s="77" t="s">
        <v>102</v>
      </c>
      <c r="D26" s="51" t="s">
        <v>46</v>
      </c>
      <c r="E26" s="51" t="s">
        <v>104</v>
      </c>
      <c r="F26" s="51" t="s">
        <v>276</v>
      </c>
      <c r="G26" s="52">
        <v>2</v>
      </c>
      <c r="H26" s="53">
        <f t="shared" si="4"/>
        <v>46084</v>
      </c>
      <c r="I26" s="53">
        <f t="shared" si="2"/>
        <v>46086</v>
      </c>
      <c r="J26" s="54">
        <f t="shared" si="3"/>
        <v>2</v>
      </c>
      <c r="K26" s="55" t="s">
        <v>22</v>
      </c>
    </row>
    <row r="27" spans="1:11">
      <c r="A27" s="51" t="str" cm="1">
        <f t="array" ref="A27">INDEX('Sprint Calendar'!$A:$A, MATCH(1, ('Project Planning (2)'!I57 &gt;= 'Sprint Calendar'!$B:$B) * ('Project Planning (2)'!H57 &lt;= 'Sprint Calendar'!$C:$C), 0))</f>
        <v>Sprint 15</v>
      </c>
      <c r="B27" s="81" t="s">
        <v>84</v>
      </c>
      <c r="C27" s="77" t="s">
        <v>109</v>
      </c>
      <c r="D27" s="51" t="s">
        <v>46</v>
      </c>
      <c r="E27" s="51" t="s">
        <v>110</v>
      </c>
      <c r="F27" s="51" t="s">
        <v>276</v>
      </c>
      <c r="G27" s="52">
        <v>2</v>
      </c>
      <c r="H27" s="53">
        <f t="shared" si="4"/>
        <v>46087</v>
      </c>
      <c r="I27" s="53">
        <f t="shared" si="2"/>
        <v>46091</v>
      </c>
      <c r="J27" s="54">
        <f t="shared" si="3"/>
        <v>2</v>
      </c>
      <c r="K27" s="55" t="s">
        <v>22</v>
      </c>
    </row>
    <row r="28" spans="1:11">
      <c r="A28" s="51" t="str" cm="1">
        <f t="array" ref="A28">INDEX('Sprint Calendar'!$A:$A, MATCH(1, ('Project Planning (2)'!I58 &gt;= 'Sprint Calendar'!$B:$B) * ('Project Planning (2)'!H58 &lt;= 'Sprint Calendar'!$C:$C), 0))</f>
        <v>Sprint 15</v>
      </c>
      <c r="B28" s="81" t="s">
        <v>84</v>
      </c>
      <c r="C28" s="77" t="s">
        <v>109</v>
      </c>
      <c r="D28" s="51" t="s">
        <v>46</v>
      </c>
      <c r="E28" s="51" t="s">
        <v>111</v>
      </c>
      <c r="F28" s="51" t="s">
        <v>276</v>
      </c>
      <c r="G28" s="52">
        <v>2</v>
      </c>
      <c r="H28" s="53">
        <f t="shared" si="4"/>
        <v>46092</v>
      </c>
      <c r="I28" s="53">
        <f t="shared" si="2"/>
        <v>46094</v>
      </c>
      <c r="J28" s="54">
        <f t="shared" si="3"/>
        <v>2</v>
      </c>
      <c r="K28" s="55" t="s">
        <v>22</v>
      </c>
    </row>
    <row r="29" spans="1:11">
      <c r="A29" s="51" t="str" cm="1">
        <f t="array" ref="A29">INDEX('Sprint Calendar'!$A:$A, MATCH(1, ('Project Planning (2)'!I62 &gt;= 'Sprint Calendar'!$B:$B) * ('Project Planning (2)'!H62 &lt;= 'Sprint Calendar'!$C:$C), 0))</f>
        <v>Sprint 16</v>
      </c>
      <c r="B29" s="81" t="s">
        <v>84</v>
      </c>
      <c r="C29" s="77" t="s">
        <v>117</v>
      </c>
      <c r="D29" s="51" t="s">
        <v>46</v>
      </c>
      <c r="E29" s="51" t="s">
        <v>118</v>
      </c>
      <c r="F29" s="51" t="s">
        <v>276</v>
      </c>
      <c r="G29" s="52">
        <v>1</v>
      </c>
      <c r="H29" s="53">
        <f t="shared" si="4"/>
        <v>46097</v>
      </c>
      <c r="I29" s="53">
        <f t="shared" si="2"/>
        <v>46098</v>
      </c>
      <c r="J29" s="54">
        <f t="shared" si="3"/>
        <v>1</v>
      </c>
      <c r="K29" s="55" t="s">
        <v>22</v>
      </c>
    </row>
    <row r="30" spans="1:11">
      <c r="A30" s="51" t="str" cm="1">
        <f t="array" ref="A30">INDEX('Sprint Calendar'!$A:$A, MATCH(1, ('Project Planning (2)'!I63 &gt;= 'Sprint Calendar'!$B:$B) * ('Project Planning (2)'!H63 &lt;= 'Sprint Calendar'!$C:$C), 0))</f>
        <v>Sprint 16</v>
      </c>
      <c r="B30" s="81" t="s">
        <v>84</v>
      </c>
      <c r="C30" s="77" t="s">
        <v>117</v>
      </c>
      <c r="D30" s="51" t="s">
        <v>46</v>
      </c>
      <c r="E30" s="51" t="s">
        <v>119</v>
      </c>
      <c r="F30" s="51" t="s">
        <v>276</v>
      </c>
      <c r="G30" s="52">
        <v>2</v>
      </c>
      <c r="H30" s="53">
        <f t="shared" si="4"/>
        <v>46099</v>
      </c>
      <c r="I30" s="53">
        <f t="shared" si="2"/>
        <v>46101</v>
      </c>
      <c r="J30" s="54">
        <f t="shared" si="3"/>
        <v>2</v>
      </c>
      <c r="K30" s="55" t="s">
        <v>22</v>
      </c>
    </row>
    <row r="31" spans="1:11">
      <c r="A31" s="51" t="str" cm="1">
        <f t="array" ref="A31">INDEX('Sprint Calendar'!$A:$A, MATCH(1, ('Project Planning (2)'!I67 &gt;= 'Sprint Calendar'!$B:$B) * ('Project Planning (2)'!H67 &lt;= 'Sprint Calendar'!$C:$C), 0))</f>
        <v>Sprint 17</v>
      </c>
      <c r="B31" s="81" t="s">
        <v>84</v>
      </c>
      <c r="C31" s="77" t="s">
        <v>124</v>
      </c>
      <c r="D31" s="51" t="s">
        <v>46</v>
      </c>
      <c r="E31" s="51" t="s">
        <v>118</v>
      </c>
      <c r="F31" s="51" t="s">
        <v>276</v>
      </c>
      <c r="G31" s="52">
        <v>1</v>
      </c>
      <c r="H31" s="53">
        <f t="shared" si="4"/>
        <v>46104</v>
      </c>
      <c r="I31" s="53">
        <f t="shared" si="2"/>
        <v>46105</v>
      </c>
      <c r="J31" s="54">
        <f t="shared" si="3"/>
        <v>1</v>
      </c>
      <c r="K31" s="55" t="s">
        <v>22</v>
      </c>
    </row>
    <row r="32" spans="1:11">
      <c r="A32" s="51" t="str" cm="1">
        <f t="array" ref="A32">INDEX('Sprint Calendar'!$A:$A, MATCH(1, ('Project Planning (2)'!I68 &gt;= 'Sprint Calendar'!$B:$B) * ('Project Planning (2)'!H68 &lt;= 'Sprint Calendar'!$C:$C), 0))</f>
        <v>Sprint 17</v>
      </c>
      <c r="B32" s="81" t="s">
        <v>84</v>
      </c>
      <c r="C32" s="77" t="s">
        <v>124</v>
      </c>
      <c r="D32" s="51" t="s">
        <v>46</v>
      </c>
      <c r="E32" s="51" t="s">
        <v>119</v>
      </c>
      <c r="F32" s="51" t="s">
        <v>276</v>
      </c>
      <c r="G32" s="52">
        <v>2</v>
      </c>
      <c r="H32" s="53">
        <f t="shared" si="4"/>
        <v>46106</v>
      </c>
      <c r="I32" s="53">
        <f t="shared" si="2"/>
        <v>46108</v>
      </c>
      <c r="J32" s="54">
        <f t="shared" si="3"/>
        <v>2</v>
      </c>
      <c r="K32" s="55" t="s">
        <v>22</v>
      </c>
    </row>
    <row r="33" spans="1:11">
      <c r="A33" s="51" t="str" cm="1">
        <f t="array" ref="A33">INDEX('Sprint Calendar'!$A:$A, MATCH(1, ('Project Planning (2)'!I72 &gt;= 'Sprint Calendar'!$B:$B) * ('Project Planning (2)'!H72 &lt;= 'Sprint Calendar'!$C:$C), 0))</f>
        <v>Sprint 18</v>
      </c>
      <c r="B33" s="81" t="s">
        <v>84</v>
      </c>
      <c r="C33" s="51" t="s">
        <v>126</v>
      </c>
      <c r="D33" s="51" t="s">
        <v>46</v>
      </c>
      <c r="E33" s="51" t="s">
        <v>127</v>
      </c>
      <c r="F33" s="51" t="s">
        <v>276</v>
      </c>
      <c r="G33" s="52">
        <v>1</v>
      </c>
      <c r="H33" s="53">
        <f t="shared" si="4"/>
        <v>46111</v>
      </c>
      <c r="I33" s="53">
        <f t="shared" si="2"/>
        <v>46112</v>
      </c>
      <c r="J33" s="54">
        <f t="shared" si="3"/>
        <v>1</v>
      </c>
      <c r="K33" s="55" t="s">
        <v>22</v>
      </c>
    </row>
    <row r="34" spans="1:11">
      <c r="A34" s="51" t="str" cm="1">
        <f t="array" ref="A34">INDEX('Sprint Calendar'!$A:$A, MATCH(1, ('Project Planning (2)'!I73 &gt;= 'Sprint Calendar'!$B:$B) * ('Project Planning (2)'!H73 &lt;= 'Sprint Calendar'!$C:$C), 0))</f>
        <v>Sprint 18</v>
      </c>
      <c r="B34" s="81" t="s">
        <v>84</v>
      </c>
      <c r="C34" s="51" t="s">
        <v>126</v>
      </c>
      <c r="D34" s="51" t="s">
        <v>46</v>
      </c>
      <c r="E34" s="51" t="s">
        <v>128</v>
      </c>
      <c r="F34" s="51" t="s">
        <v>276</v>
      </c>
      <c r="G34" s="52">
        <v>1</v>
      </c>
      <c r="H34" s="53">
        <f t="shared" si="4"/>
        <v>46113</v>
      </c>
      <c r="I34" s="53">
        <f t="shared" si="2"/>
        <v>46114</v>
      </c>
      <c r="J34" s="54">
        <f t="shared" si="3"/>
        <v>1</v>
      </c>
      <c r="K34" s="55" t="s">
        <v>22</v>
      </c>
    </row>
    <row r="35" spans="1:11">
      <c r="A35" s="51" t="str" cm="1">
        <f t="array" ref="A35">INDEX('Sprint Calendar'!$A:$A, MATCH(1, ('Project Planning (2)'!I77 &gt;= 'Sprint Calendar'!$B:$B) * ('Project Planning (2)'!H77 &lt;= 'Sprint Calendar'!$C:$C), 0))</f>
        <v>Sprint 19</v>
      </c>
      <c r="B35" s="81" t="s">
        <v>84</v>
      </c>
      <c r="C35" s="51" t="s">
        <v>132</v>
      </c>
      <c r="D35" s="51" t="s">
        <v>46</v>
      </c>
      <c r="E35" s="51" t="s">
        <v>133</v>
      </c>
      <c r="F35" s="51" t="s">
        <v>276</v>
      </c>
      <c r="G35" s="52">
        <v>1</v>
      </c>
      <c r="H35" s="53">
        <f t="shared" si="4"/>
        <v>46115</v>
      </c>
      <c r="I35" s="53">
        <f t="shared" si="2"/>
        <v>46118</v>
      </c>
      <c r="J35" s="54">
        <f t="shared" si="3"/>
        <v>1</v>
      </c>
      <c r="K35" s="102" t="s">
        <v>22</v>
      </c>
    </row>
    <row r="36" spans="1:11">
      <c r="A36" s="51" t="str" cm="1">
        <f t="array" ref="A36">INDEX('Sprint Calendar'!$A:$A, MATCH(1, ('Project Planning (2)'!I78 &gt;= 'Sprint Calendar'!$B:$B) * ('Project Planning (2)'!H78 &lt;= 'Sprint Calendar'!$C:$C), 0))</f>
        <v>Sprint 19</v>
      </c>
      <c r="B36" s="81" t="s">
        <v>84</v>
      </c>
      <c r="C36" s="51" t="s">
        <v>132</v>
      </c>
      <c r="D36" s="51" t="s">
        <v>46</v>
      </c>
      <c r="E36" s="51" t="s">
        <v>134</v>
      </c>
      <c r="F36" s="51" t="s">
        <v>276</v>
      </c>
      <c r="G36" s="52">
        <v>1</v>
      </c>
      <c r="H36" s="53">
        <f t="shared" si="4"/>
        <v>46119</v>
      </c>
      <c r="I36" s="53">
        <f t="shared" si="2"/>
        <v>46120</v>
      </c>
      <c r="J36" s="54">
        <f t="shared" si="3"/>
        <v>1</v>
      </c>
      <c r="K36" s="102" t="s">
        <v>22</v>
      </c>
    </row>
    <row r="37" spans="1:11">
      <c r="A37" s="51" t="str" cm="1">
        <f t="array" ref="A37">INDEX('Sprint Calendar'!$A:$A, MATCH(1, ('Project Planning (2)'!I82 &gt;= 'Sprint Calendar'!$B:$B) * ('Project Planning (2)'!H82 &lt;= 'Sprint Calendar'!$C:$C), 0))</f>
        <v>Sprint 20</v>
      </c>
      <c r="B37" s="81" t="s">
        <v>84</v>
      </c>
      <c r="C37" s="51" t="s">
        <v>138</v>
      </c>
      <c r="D37" s="51" t="s">
        <v>46</v>
      </c>
      <c r="E37" s="51" t="s">
        <v>139</v>
      </c>
      <c r="F37" s="51" t="s">
        <v>276</v>
      </c>
      <c r="G37" s="52">
        <v>2</v>
      </c>
      <c r="H37" s="53">
        <f t="shared" si="4"/>
        <v>46121</v>
      </c>
      <c r="I37" s="53">
        <f t="shared" si="2"/>
        <v>46125</v>
      </c>
      <c r="J37" s="54">
        <f t="shared" si="3"/>
        <v>2</v>
      </c>
      <c r="K37" s="102" t="s">
        <v>22</v>
      </c>
    </row>
    <row r="38" spans="1:11">
      <c r="A38" s="51" t="str" cm="1">
        <f t="array" ref="A38">INDEX('Sprint Calendar'!$A:$A, MATCH(1, ('Project Planning (2)'!I83 &gt;= 'Sprint Calendar'!$B:$B) * ('Project Planning (2)'!H83 &lt;= 'Sprint Calendar'!$C:$C), 0))</f>
        <v>Sprint 20</v>
      </c>
      <c r="B38" s="81" t="s">
        <v>84</v>
      </c>
      <c r="C38" s="51" t="s">
        <v>138</v>
      </c>
      <c r="D38" s="51" t="s">
        <v>46</v>
      </c>
      <c r="E38" s="51" t="s">
        <v>140</v>
      </c>
      <c r="F38" s="51" t="s">
        <v>276</v>
      </c>
      <c r="G38" s="52">
        <v>2</v>
      </c>
      <c r="H38" s="53">
        <f t="shared" si="4"/>
        <v>46126</v>
      </c>
      <c r="I38" s="53">
        <f t="shared" si="2"/>
        <v>46128</v>
      </c>
      <c r="J38" s="54">
        <f t="shared" si="3"/>
        <v>2</v>
      </c>
      <c r="K38" s="102" t="s">
        <v>22</v>
      </c>
    </row>
    <row r="39" spans="1:11">
      <c r="A39" s="51" t="str" cm="1">
        <f t="array" ref="A39">INDEX('Sprint Calendar'!$A:$A, MATCH(1, ('Project Planning (2)'!I87 &gt;= 'Sprint Calendar'!$B:$B) * ('Project Planning (2)'!H87 &lt;= 'Sprint Calendar'!$C:$C), 0))</f>
        <v>Sprint 20</v>
      </c>
      <c r="B39" s="81" t="s">
        <v>84</v>
      </c>
      <c r="C39" s="51" t="s">
        <v>144</v>
      </c>
      <c r="D39" s="51" t="s">
        <v>46</v>
      </c>
      <c r="E39" s="51" t="s">
        <v>145</v>
      </c>
      <c r="F39" s="51" t="s">
        <v>276</v>
      </c>
      <c r="G39" s="52">
        <v>1</v>
      </c>
      <c r="H39" s="53">
        <f t="shared" si="4"/>
        <v>46129</v>
      </c>
      <c r="I39" s="53">
        <f t="shared" si="2"/>
        <v>46132</v>
      </c>
      <c r="J39" s="54">
        <f t="shared" si="3"/>
        <v>1</v>
      </c>
      <c r="K39" s="102" t="s">
        <v>22</v>
      </c>
    </row>
    <row r="40" spans="1:11">
      <c r="A40" s="51" t="str" cm="1">
        <f t="array" ref="A40">INDEX('Sprint Calendar'!$A:$A, MATCH(1, ('Project Planning (2)'!I88 &gt;= 'Sprint Calendar'!$B:$B) * ('Project Planning (2)'!H88 &lt;= 'Sprint Calendar'!$C:$C), 0))</f>
        <v>Sprint 21</v>
      </c>
      <c r="B40" s="81" t="s">
        <v>84</v>
      </c>
      <c r="C40" s="51" t="s">
        <v>144</v>
      </c>
      <c r="D40" s="51" t="s">
        <v>46</v>
      </c>
      <c r="E40" s="51" t="s">
        <v>146</v>
      </c>
      <c r="F40" s="51" t="s">
        <v>276</v>
      </c>
      <c r="G40" s="52">
        <v>2</v>
      </c>
      <c r="H40" s="53">
        <f t="shared" si="4"/>
        <v>46133</v>
      </c>
      <c r="I40" s="53">
        <f t="shared" si="2"/>
        <v>46135</v>
      </c>
      <c r="J40" s="54">
        <f t="shared" si="3"/>
        <v>2</v>
      </c>
      <c r="K40" s="102" t="s">
        <v>22</v>
      </c>
    </row>
    <row r="41" spans="1:11">
      <c r="A41" s="51" t="str" cm="1">
        <f t="array" ref="A41">INDEX('Sprint Calendar'!$A:$A, MATCH(1, ('Project Planning (2)'!I92 &gt;= 'Sprint Calendar'!$B:$B) * ('Project Planning (2)'!H92 &lt;= 'Sprint Calendar'!$C:$C), 0))</f>
        <v>Sprint 22</v>
      </c>
      <c r="B41" s="81" t="s">
        <v>84</v>
      </c>
      <c r="C41" s="51" t="s">
        <v>152</v>
      </c>
      <c r="D41" s="51" t="s">
        <v>46</v>
      </c>
      <c r="E41" s="51" t="s">
        <v>153</v>
      </c>
      <c r="F41" s="51" t="s">
        <v>276</v>
      </c>
      <c r="G41" s="52">
        <v>0.5</v>
      </c>
      <c r="H41" s="53">
        <f t="shared" si="4"/>
        <v>46136</v>
      </c>
      <c r="I41" s="53">
        <f t="shared" si="2"/>
        <v>46136</v>
      </c>
      <c r="J41" s="54">
        <f t="shared" si="3"/>
        <v>0.5</v>
      </c>
      <c r="K41" s="102" t="s">
        <v>22</v>
      </c>
    </row>
    <row r="42" spans="1:11">
      <c r="A42" s="51" t="str" cm="1">
        <f t="array" ref="A42">INDEX('Sprint Calendar'!$A:$A, MATCH(1, ('Project Planning (2)'!I93 &gt;= 'Sprint Calendar'!$B:$B) * ('Project Planning (2)'!H93 &lt;= 'Sprint Calendar'!$C:$C), 0))</f>
        <v>Sprint 22</v>
      </c>
      <c r="B42" s="81" t="s">
        <v>84</v>
      </c>
      <c r="C42" s="51" t="s">
        <v>152</v>
      </c>
      <c r="D42" s="51" t="s">
        <v>46</v>
      </c>
      <c r="E42" s="51" t="s">
        <v>154</v>
      </c>
      <c r="F42" s="51" t="s">
        <v>276</v>
      </c>
      <c r="G42" s="52">
        <v>0.5</v>
      </c>
      <c r="H42" s="53">
        <f t="shared" si="4"/>
        <v>46139</v>
      </c>
      <c r="I42" s="53">
        <f t="shared" si="2"/>
        <v>46139</v>
      </c>
      <c r="J42" s="54">
        <f t="shared" si="3"/>
        <v>0.5</v>
      </c>
      <c r="K42" s="102" t="s">
        <v>22</v>
      </c>
    </row>
    <row r="43" spans="1:11">
      <c r="A43" s="51" t="str" cm="1">
        <f t="array" ref="A43">INDEX('Sprint Calendar'!$A:$A, MATCH(1, ('Project Planning (2)'!I97 &gt;= 'Sprint Calendar'!$B:$B) * ('Project Planning (2)'!H97 &lt;= 'Sprint Calendar'!$C:$C), 0))</f>
        <v>Sprint 1</v>
      </c>
      <c r="B43" s="81" t="s">
        <v>84</v>
      </c>
      <c r="C43" s="51" t="s">
        <v>160</v>
      </c>
      <c r="D43" s="51" t="s">
        <v>46</v>
      </c>
      <c r="E43" s="51" t="s">
        <v>161</v>
      </c>
      <c r="F43" s="51" t="s">
        <v>276</v>
      </c>
      <c r="G43" s="52">
        <v>2</v>
      </c>
      <c r="H43" s="53">
        <f t="shared" si="4"/>
        <v>46140</v>
      </c>
      <c r="I43" s="53">
        <f t="shared" ref="I43:I74" si="5">WORKDAY(H43,J43)</f>
        <v>46142</v>
      </c>
      <c r="J43" s="54">
        <f t="shared" ref="J43:J78" si="6">G43/$N$4</f>
        <v>2</v>
      </c>
      <c r="K43" s="102" t="s">
        <v>22</v>
      </c>
    </row>
    <row r="44" spans="1:11">
      <c r="A44" s="51" t="str" cm="1">
        <f t="array" ref="A44">INDEX('Sprint Calendar'!$A:$A, MATCH(1, ('Project Planning (2)'!I98 &gt;= 'Sprint Calendar'!$B:$B) * ('Project Planning (2)'!H98 &lt;= 'Sprint Calendar'!$C:$C), 0))</f>
        <v>Sprint 1</v>
      </c>
      <c r="B44" s="81" t="s">
        <v>84</v>
      </c>
      <c r="C44" s="51" t="s">
        <v>160</v>
      </c>
      <c r="D44" s="51" t="s">
        <v>46</v>
      </c>
      <c r="E44" s="51" t="s">
        <v>162</v>
      </c>
      <c r="F44" s="51" t="s">
        <v>276</v>
      </c>
      <c r="G44" s="52">
        <v>2</v>
      </c>
      <c r="H44" s="53">
        <f t="shared" ref="H44:H75" si="7">WORKDAY(I43,1)</f>
        <v>46143</v>
      </c>
      <c r="I44" s="53">
        <f t="shared" si="5"/>
        <v>46147</v>
      </c>
      <c r="J44" s="54">
        <f t="shared" si="6"/>
        <v>2</v>
      </c>
      <c r="K44" s="102" t="s">
        <v>22</v>
      </c>
    </row>
    <row r="45" spans="1:11">
      <c r="A45" s="51" t="str" cm="1">
        <f t="array" ref="A45">INDEX('Sprint Calendar'!$A:$A, MATCH(1, ('Project Planning (2)'!I102 &gt;= 'Sprint Calendar'!$B:$B) * ('Project Planning (2)'!H102 &lt;= 'Sprint Calendar'!$C:$C), 0))</f>
        <v>Sprint 2</v>
      </c>
      <c r="B45" s="81" t="s">
        <v>84</v>
      </c>
      <c r="C45" s="51" t="s">
        <v>168</v>
      </c>
      <c r="D45" s="51" t="s">
        <v>46</v>
      </c>
      <c r="E45" s="51" t="s">
        <v>169</v>
      </c>
      <c r="F45" s="51" t="s">
        <v>276</v>
      </c>
      <c r="G45" s="52">
        <v>0.5</v>
      </c>
      <c r="H45" s="53">
        <f t="shared" si="7"/>
        <v>46148</v>
      </c>
      <c r="I45" s="53">
        <f t="shared" si="5"/>
        <v>46148</v>
      </c>
      <c r="J45" s="54">
        <f t="shared" si="6"/>
        <v>0.5</v>
      </c>
      <c r="K45" s="102" t="s">
        <v>22</v>
      </c>
    </row>
    <row r="46" spans="1:11">
      <c r="A46" s="51" t="str" cm="1">
        <f t="array" ref="A46">INDEX('Sprint Calendar'!$A:$A, MATCH(1, ('Project Planning (2)'!I103 &gt;= 'Sprint Calendar'!$B:$B) * ('Project Planning (2)'!H103 &lt;= 'Sprint Calendar'!$C:$C), 0))</f>
        <v>Sprint 3</v>
      </c>
      <c r="B46" s="81" t="s">
        <v>84</v>
      </c>
      <c r="C46" s="51" t="s">
        <v>168</v>
      </c>
      <c r="D46" s="51" t="s">
        <v>46</v>
      </c>
      <c r="E46" s="51" t="s">
        <v>170</v>
      </c>
      <c r="F46" s="51" t="s">
        <v>276</v>
      </c>
      <c r="G46" s="52">
        <v>0.5</v>
      </c>
      <c r="H46" s="53">
        <f t="shared" si="7"/>
        <v>46149</v>
      </c>
      <c r="I46" s="53">
        <f t="shared" si="5"/>
        <v>46149</v>
      </c>
      <c r="J46" s="54">
        <f t="shared" si="6"/>
        <v>0.5</v>
      </c>
      <c r="K46" s="102" t="s">
        <v>22</v>
      </c>
    </row>
    <row r="47" spans="1:11">
      <c r="A47" s="51" t="str" cm="1">
        <f t="array" ref="A47">INDEX('Sprint Calendar'!$A:$A, MATCH(1, ('Project Planning (2)'!I107 &gt;= 'Sprint Calendar'!$B:$B) * ('Project Planning (2)'!H107 &lt;= 'Sprint Calendar'!$C:$C), 0))</f>
        <v>Sprint 5</v>
      </c>
      <c r="B47" s="81" t="s">
        <v>84</v>
      </c>
      <c r="C47" s="51" t="s">
        <v>175</v>
      </c>
      <c r="D47" s="51" t="s">
        <v>46</v>
      </c>
      <c r="E47" s="51" t="s">
        <v>176</v>
      </c>
      <c r="F47" s="51" t="s">
        <v>276</v>
      </c>
      <c r="G47" s="52">
        <v>2</v>
      </c>
      <c r="H47" s="53">
        <f t="shared" si="7"/>
        <v>46150</v>
      </c>
      <c r="I47" s="53">
        <f t="shared" si="5"/>
        <v>46154</v>
      </c>
      <c r="J47" s="54">
        <f t="shared" si="6"/>
        <v>2</v>
      </c>
      <c r="K47" s="102" t="s">
        <v>22</v>
      </c>
    </row>
    <row r="48" spans="1:11">
      <c r="A48" s="51" t="str" cm="1">
        <f t="array" ref="A48">INDEX('Sprint Calendar'!$A:$A, MATCH(1, ('Project Planning (2)'!I108 &gt;= 'Sprint Calendar'!$B:$B) * ('Project Planning (2)'!H108 &lt;= 'Sprint Calendar'!$C:$C), 0))</f>
        <v>Sprint 6</v>
      </c>
      <c r="B48" s="81" t="s">
        <v>84</v>
      </c>
      <c r="C48" s="51" t="s">
        <v>175</v>
      </c>
      <c r="D48" s="51" t="s">
        <v>46</v>
      </c>
      <c r="E48" s="51" t="s">
        <v>177</v>
      </c>
      <c r="F48" s="51" t="s">
        <v>276</v>
      </c>
      <c r="G48" s="52">
        <v>2</v>
      </c>
      <c r="H48" s="53">
        <f t="shared" si="7"/>
        <v>46155</v>
      </c>
      <c r="I48" s="53">
        <f t="shared" si="5"/>
        <v>46157</v>
      </c>
      <c r="J48" s="54">
        <f t="shared" si="6"/>
        <v>2</v>
      </c>
      <c r="K48" s="102" t="s">
        <v>22</v>
      </c>
    </row>
    <row r="49" spans="1:11">
      <c r="A49" s="51" t="str" cm="1">
        <f t="array" ref="A49">INDEX('Sprint Calendar'!$A:$A, MATCH(1, ('Project Planning (2)'!I112 &gt;= 'Sprint Calendar'!$B:$B) * ('Project Planning (2)'!H112 &lt;= 'Sprint Calendar'!$C:$C), 0))</f>
        <v>Sprint 7</v>
      </c>
      <c r="B49" s="81" t="s">
        <v>84</v>
      </c>
      <c r="C49" s="51" t="s">
        <v>181</v>
      </c>
      <c r="D49" s="51" t="s">
        <v>46</v>
      </c>
      <c r="E49" s="51" t="s">
        <v>182</v>
      </c>
      <c r="F49" s="51" t="s">
        <v>276</v>
      </c>
      <c r="G49" s="52">
        <v>1</v>
      </c>
      <c r="H49" s="53">
        <f t="shared" si="7"/>
        <v>46160</v>
      </c>
      <c r="I49" s="53">
        <f t="shared" si="5"/>
        <v>46161</v>
      </c>
      <c r="J49" s="54">
        <f t="shared" si="6"/>
        <v>1</v>
      </c>
      <c r="K49" s="102" t="s">
        <v>22</v>
      </c>
    </row>
    <row r="50" spans="1:11">
      <c r="A50" s="51" t="str" cm="1">
        <f t="array" ref="A50">INDEX('Sprint Calendar'!$A:$A, MATCH(1, ('Project Planning (2)'!I113 &gt;= 'Sprint Calendar'!$B:$B) * ('Project Planning (2)'!H113 &lt;= 'Sprint Calendar'!$C:$C), 0))</f>
        <v>Sprint 8</v>
      </c>
      <c r="B50" s="81" t="s">
        <v>84</v>
      </c>
      <c r="C50" s="51" t="s">
        <v>181</v>
      </c>
      <c r="D50" s="51" t="s">
        <v>46</v>
      </c>
      <c r="E50" s="51" t="s">
        <v>183</v>
      </c>
      <c r="F50" s="51" t="s">
        <v>276</v>
      </c>
      <c r="G50" s="52">
        <v>2</v>
      </c>
      <c r="H50" s="53">
        <f t="shared" si="7"/>
        <v>46162</v>
      </c>
      <c r="I50" s="53">
        <f t="shared" si="5"/>
        <v>46164</v>
      </c>
      <c r="J50" s="54">
        <f t="shared" si="6"/>
        <v>2</v>
      </c>
      <c r="K50" s="102" t="s">
        <v>22</v>
      </c>
    </row>
    <row r="51" spans="1:11">
      <c r="A51" s="51" t="str" cm="1">
        <f t="array" ref="A51">INDEX('Sprint Calendar'!$A:$A, MATCH(1, ('Project Planning (2)'!I117 &gt;= 'Sprint Calendar'!$B:$B) * ('Project Planning (2)'!H117 &lt;= 'Sprint Calendar'!$C:$C), 0))</f>
        <v>Sprint 8</v>
      </c>
      <c r="B51" s="81" t="s">
        <v>84</v>
      </c>
      <c r="C51" s="51" t="s">
        <v>187</v>
      </c>
      <c r="D51" s="51" t="s">
        <v>46</v>
      </c>
      <c r="E51" s="51" t="s">
        <v>188</v>
      </c>
      <c r="F51" s="51" t="s">
        <v>276</v>
      </c>
      <c r="G51" s="52">
        <v>1</v>
      </c>
      <c r="H51" s="53">
        <f t="shared" si="7"/>
        <v>46167</v>
      </c>
      <c r="I51" s="53">
        <f t="shared" si="5"/>
        <v>46168</v>
      </c>
      <c r="J51" s="54">
        <f t="shared" si="6"/>
        <v>1</v>
      </c>
      <c r="K51" s="102" t="s">
        <v>22</v>
      </c>
    </row>
    <row r="52" spans="1:11">
      <c r="A52" s="51" t="str" cm="1">
        <f t="array" ref="A52">INDEX('Sprint Calendar'!$A:$A, MATCH(1, ('Project Planning (2)'!I118 &gt;= 'Sprint Calendar'!$B:$B) * ('Project Planning (2)'!H118 &lt;= 'Sprint Calendar'!$C:$C), 0))</f>
        <v>Sprint 9</v>
      </c>
      <c r="B52" s="81" t="s">
        <v>84</v>
      </c>
      <c r="C52" s="51" t="s">
        <v>187</v>
      </c>
      <c r="D52" s="51" t="s">
        <v>46</v>
      </c>
      <c r="E52" s="51" t="s">
        <v>189</v>
      </c>
      <c r="F52" s="51" t="s">
        <v>276</v>
      </c>
      <c r="G52" s="52">
        <v>1</v>
      </c>
      <c r="H52" s="53">
        <f t="shared" si="7"/>
        <v>46169</v>
      </c>
      <c r="I52" s="53">
        <f t="shared" si="5"/>
        <v>46170</v>
      </c>
      <c r="J52" s="54">
        <f t="shared" si="6"/>
        <v>1</v>
      </c>
      <c r="K52" s="102" t="s">
        <v>22</v>
      </c>
    </row>
    <row r="53" spans="1:11">
      <c r="A53" s="51" t="str" cm="1">
        <f t="array" ref="A53">INDEX('Sprint Calendar'!$A:$A, MATCH(1, ('Project Planning (2)'!I122 &gt;= 'Sprint Calendar'!$B:$B) * ('Project Planning (2)'!H122 &lt;= 'Sprint Calendar'!$C:$C), 0))</f>
        <v>Sprint 10</v>
      </c>
      <c r="B53" s="81" t="s">
        <v>84</v>
      </c>
      <c r="C53" s="51" t="s">
        <v>193</v>
      </c>
      <c r="D53" s="51" t="s">
        <v>46</v>
      </c>
      <c r="E53" s="51" t="s">
        <v>194</v>
      </c>
      <c r="F53" s="51" t="s">
        <v>276</v>
      </c>
      <c r="G53" s="52">
        <v>1</v>
      </c>
      <c r="H53" s="53">
        <f t="shared" si="7"/>
        <v>46171</v>
      </c>
      <c r="I53" s="53">
        <f t="shared" si="5"/>
        <v>46174</v>
      </c>
      <c r="J53" s="54">
        <f t="shared" si="6"/>
        <v>1</v>
      </c>
      <c r="K53" s="102" t="s">
        <v>22</v>
      </c>
    </row>
    <row r="54" spans="1:11">
      <c r="A54" s="51" t="str" cm="1">
        <f t="array" ref="A54">INDEX('Sprint Calendar'!$A:$A, MATCH(1, ('Project Planning (2)'!I123 &gt;= 'Sprint Calendar'!$B:$B) * ('Project Planning (2)'!H123 &lt;= 'Sprint Calendar'!$C:$C), 0))</f>
        <v>Sprint 10</v>
      </c>
      <c r="B54" s="81" t="s">
        <v>84</v>
      </c>
      <c r="C54" s="51" t="s">
        <v>193</v>
      </c>
      <c r="D54" s="51" t="s">
        <v>46</v>
      </c>
      <c r="E54" s="51" t="s">
        <v>195</v>
      </c>
      <c r="F54" s="51" t="s">
        <v>276</v>
      </c>
      <c r="G54" s="52">
        <v>2</v>
      </c>
      <c r="H54" s="53">
        <f t="shared" si="7"/>
        <v>46175</v>
      </c>
      <c r="I54" s="53">
        <f t="shared" si="5"/>
        <v>46177</v>
      </c>
      <c r="J54" s="54">
        <f t="shared" si="6"/>
        <v>2</v>
      </c>
      <c r="K54" s="102" t="s">
        <v>22</v>
      </c>
    </row>
    <row r="55" spans="1:11">
      <c r="A55" s="51" t="e" cm="1">
        <f t="array" ref="A55">INDEX('Sprint Calendar'!$A:$A, MATCH(1, ('Project Planning (2)'!I127 &gt;= 'Sprint Calendar'!$B:$B) * ('Project Planning (2)'!H127 &lt;= 'Sprint Calendar'!$C:$C), 0))</f>
        <v>#N/A</v>
      </c>
      <c r="B55" s="81" t="s">
        <v>84</v>
      </c>
      <c r="C55" s="77" t="s">
        <v>199</v>
      </c>
      <c r="D55" s="51" t="s">
        <v>46</v>
      </c>
      <c r="E55" s="51" t="s">
        <v>200</v>
      </c>
      <c r="F55" s="51" t="s">
        <v>276</v>
      </c>
      <c r="G55" s="52">
        <v>1.5</v>
      </c>
      <c r="H55" s="53">
        <f t="shared" si="7"/>
        <v>46178</v>
      </c>
      <c r="I55" s="53">
        <f t="shared" si="5"/>
        <v>46181</v>
      </c>
      <c r="J55" s="54">
        <f t="shared" si="6"/>
        <v>1.5</v>
      </c>
      <c r="K55" s="102" t="s">
        <v>22</v>
      </c>
    </row>
    <row r="56" spans="1:11">
      <c r="A56" s="51" t="e" cm="1">
        <f t="array" ref="A56">INDEX('Sprint Calendar'!$A:$A, MATCH(1, ('Project Planning (2)'!I128 &gt;= 'Sprint Calendar'!$B:$B) * ('Project Planning (2)'!H128 &lt;= 'Sprint Calendar'!$C:$C), 0))</f>
        <v>#N/A</v>
      </c>
      <c r="B56" s="81" t="s">
        <v>84</v>
      </c>
      <c r="C56" s="77" t="s">
        <v>199</v>
      </c>
      <c r="D56" s="51" t="s">
        <v>46</v>
      </c>
      <c r="E56" s="51" t="s">
        <v>201</v>
      </c>
      <c r="F56" s="51" t="s">
        <v>276</v>
      </c>
      <c r="G56" s="52">
        <v>1.5</v>
      </c>
      <c r="H56" s="53">
        <f t="shared" si="7"/>
        <v>46182</v>
      </c>
      <c r="I56" s="53">
        <f t="shared" si="5"/>
        <v>46183</v>
      </c>
      <c r="J56" s="54">
        <f t="shared" si="6"/>
        <v>1.5</v>
      </c>
      <c r="K56" s="102" t="s">
        <v>22</v>
      </c>
    </row>
    <row r="57" spans="1:11">
      <c r="A57" s="51" t="e" cm="1">
        <f t="array" ref="A57">INDEX('Sprint Calendar'!$A:$A, MATCH(1, ('Project Planning (2)'!I132 &gt;= 'Sprint Calendar'!$B:$B) * ('Project Planning (2)'!H132 &lt;= 'Sprint Calendar'!$C:$C), 0))</f>
        <v>#N/A</v>
      </c>
      <c r="B57" s="81" t="s">
        <v>84</v>
      </c>
      <c r="C57" s="77" t="s">
        <v>205</v>
      </c>
      <c r="D57" s="51" t="s">
        <v>46</v>
      </c>
      <c r="E57" s="51" t="s">
        <v>206</v>
      </c>
      <c r="F57" s="51" t="s">
        <v>276</v>
      </c>
      <c r="G57" s="52">
        <v>1</v>
      </c>
      <c r="H57" s="53">
        <f t="shared" si="7"/>
        <v>46184</v>
      </c>
      <c r="I57" s="53">
        <f t="shared" si="5"/>
        <v>46185</v>
      </c>
      <c r="J57" s="54">
        <f t="shared" si="6"/>
        <v>1</v>
      </c>
      <c r="K57" s="102" t="s">
        <v>22</v>
      </c>
    </row>
    <row r="58" spans="1:11">
      <c r="A58" s="51" t="e" cm="1">
        <f t="array" ref="A58">INDEX('Sprint Calendar'!$A:$A, MATCH(1, ('Project Planning (2)'!I133 &gt;= 'Sprint Calendar'!$B:$B) * ('Project Planning (2)'!H133 &lt;= 'Sprint Calendar'!$C:$C), 0))</f>
        <v>#N/A</v>
      </c>
      <c r="B58" s="81" t="s">
        <v>84</v>
      </c>
      <c r="C58" s="77" t="s">
        <v>205</v>
      </c>
      <c r="D58" s="51" t="s">
        <v>46</v>
      </c>
      <c r="E58" s="51" t="s">
        <v>207</v>
      </c>
      <c r="F58" s="51" t="s">
        <v>276</v>
      </c>
      <c r="G58" s="52">
        <v>1</v>
      </c>
      <c r="H58" s="53">
        <f t="shared" si="7"/>
        <v>46188</v>
      </c>
      <c r="I58" s="53">
        <f t="shared" si="5"/>
        <v>46189</v>
      </c>
      <c r="J58" s="54">
        <f t="shared" si="6"/>
        <v>1</v>
      </c>
      <c r="K58" s="102" t="s">
        <v>22</v>
      </c>
    </row>
    <row r="59" spans="1:11">
      <c r="A59" s="51" t="e" cm="1">
        <f t="array" ref="A59">INDEX('Sprint Calendar'!$A:$A, MATCH(1, ('Project Planning (2)'!I137 &gt;= 'Sprint Calendar'!$B:$B) * ('Project Planning (2)'!H137 &lt;= 'Sprint Calendar'!$C:$C), 0))</f>
        <v>#N/A</v>
      </c>
      <c r="B59" s="81" t="s">
        <v>84</v>
      </c>
      <c r="C59" s="77" t="s">
        <v>212</v>
      </c>
      <c r="D59" s="51" t="s">
        <v>46</v>
      </c>
      <c r="E59" s="51" t="s">
        <v>213</v>
      </c>
      <c r="F59" s="51" t="s">
        <v>276</v>
      </c>
      <c r="G59" s="52">
        <v>1</v>
      </c>
      <c r="H59" s="53">
        <f t="shared" si="7"/>
        <v>46190</v>
      </c>
      <c r="I59" s="53">
        <f t="shared" si="5"/>
        <v>46191</v>
      </c>
      <c r="J59" s="54">
        <f t="shared" si="6"/>
        <v>1</v>
      </c>
      <c r="K59" s="102" t="s">
        <v>22</v>
      </c>
    </row>
    <row r="60" spans="1:11">
      <c r="A60" s="51" t="e" cm="1">
        <f t="array" ref="A60">INDEX('Sprint Calendar'!$A:$A, MATCH(1, ('Project Planning (2)'!I138 &gt;= 'Sprint Calendar'!$B:$B) * ('Project Planning (2)'!H138 &lt;= 'Sprint Calendar'!$C:$C), 0))</f>
        <v>#N/A</v>
      </c>
      <c r="B60" s="81" t="s">
        <v>84</v>
      </c>
      <c r="C60" s="77" t="s">
        <v>212</v>
      </c>
      <c r="D60" s="51" t="s">
        <v>46</v>
      </c>
      <c r="E60" s="51" t="s">
        <v>214</v>
      </c>
      <c r="F60" s="51" t="s">
        <v>276</v>
      </c>
      <c r="G60" s="52">
        <v>1</v>
      </c>
      <c r="H60" s="53">
        <f t="shared" si="7"/>
        <v>46192</v>
      </c>
      <c r="I60" s="53">
        <f t="shared" si="5"/>
        <v>46195</v>
      </c>
      <c r="J60" s="54">
        <f t="shared" si="6"/>
        <v>1</v>
      </c>
      <c r="K60" s="102" t="s">
        <v>22</v>
      </c>
    </row>
    <row r="61" spans="1:11">
      <c r="A61" s="51" t="e" cm="1">
        <f t="array" ref="A61">INDEX('Sprint Calendar'!$A:$A, MATCH(1, ('Project Planning (2)'!I142 &gt;= 'Sprint Calendar'!$B:$B) * ('Project Planning (2)'!H142 &lt;= 'Sprint Calendar'!$C:$C), 0))</f>
        <v>#N/A</v>
      </c>
      <c r="B61" s="81" t="s">
        <v>84</v>
      </c>
      <c r="C61" s="77" t="s">
        <v>219</v>
      </c>
      <c r="D61" s="51" t="s">
        <v>46</v>
      </c>
      <c r="E61" s="51" t="s">
        <v>220</v>
      </c>
      <c r="F61" s="51" t="s">
        <v>276</v>
      </c>
      <c r="G61" s="52">
        <v>2</v>
      </c>
      <c r="H61" s="53">
        <f t="shared" si="7"/>
        <v>46196</v>
      </c>
      <c r="I61" s="53">
        <f t="shared" si="5"/>
        <v>46198</v>
      </c>
      <c r="J61" s="54">
        <f t="shared" si="6"/>
        <v>2</v>
      </c>
      <c r="K61" s="102" t="s">
        <v>22</v>
      </c>
    </row>
    <row r="62" spans="1:11">
      <c r="A62" s="51" t="e" cm="1">
        <f t="array" ref="A62">INDEX('Sprint Calendar'!$A:$A, MATCH(1, ('Project Planning (2)'!I143 &gt;= 'Sprint Calendar'!$B:$B) * ('Project Planning (2)'!H143 &lt;= 'Sprint Calendar'!$C:$C), 0))</f>
        <v>#N/A</v>
      </c>
      <c r="B62" s="81" t="s">
        <v>84</v>
      </c>
      <c r="C62" s="77" t="s">
        <v>219</v>
      </c>
      <c r="D62" s="51" t="s">
        <v>46</v>
      </c>
      <c r="E62" s="51" t="s">
        <v>221</v>
      </c>
      <c r="F62" s="51" t="s">
        <v>276</v>
      </c>
      <c r="G62" s="52">
        <v>2</v>
      </c>
      <c r="H62" s="53">
        <f t="shared" si="7"/>
        <v>46199</v>
      </c>
      <c r="I62" s="53">
        <f t="shared" si="5"/>
        <v>46203</v>
      </c>
      <c r="J62" s="54">
        <f t="shared" si="6"/>
        <v>2</v>
      </c>
      <c r="K62" s="102" t="s">
        <v>22</v>
      </c>
    </row>
    <row r="63" spans="1:11">
      <c r="A63" s="51" t="str" cm="1">
        <f t="array" ref="A63">INDEX('Sprint Calendar'!$A:$A, MATCH(1, ('Project Planning (2)'!I147 &gt;= 'Sprint Calendar'!$B:$B) * ('Project Planning (2)'!H147 &lt;= 'Sprint Calendar'!$C:$C), 0))</f>
        <v>Sprint 5</v>
      </c>
      <c r="B63" s="81" t="s">
        <v>84</v>
      </c>
      <c r="C63" s="77" t="s">
        <v>225</v>
      </c>
      <c r="D63" s="51" t="s">
        <v>46</v>
      </c>
      <c r="E63" s="51" t="s">
        <v>226</v>
      </c>
      <c r="F63" s="51" t="s">
        <v>276</v>
      </c>
      <c r="G63" s="52">
        <v>2</v>
      </c>
      <c r="H63" s="53">
        <f t="shared" si="7"/>
        <v>46204</v>
      </c>
      <c r="I63" s="53">
        <f t="shared" si="5"/>
        <v>46206</v>
      </c>
      <c r="J63" s="54">
        <f t="shared" si="6"/>
        <v>2</v>
      </c>
      <c r="K63" s="102" t="s">
        <v>22</v>
      </c>
    </row>
    <row r="64" spans="1:11">
      <c r="A64" s="51" t="str" cm="1">
        <f t="array" ref="A64">INDEX('Sprint Calendar'!$A:$A, MATCH(1, ('Project Planning (2)'!I148 &gt;= 'Sprint Calendar'!$B:$B) * ('Project Planning (2)'!H148 &lt;= 'Sprint Calendar'!$C:$C), 0))</f>
        <v>Sprint 5</v>
      </c>
      <c r="B64" s="81" t="s">
        <v>84</v>
      </c>
      <c r="C64" s="77" t="s">
        <v>225</v>
      </c>
      <c r="D64" s="51" t="s">
        <v>46</v>
      </c>
      <c r="E64" s="51" t="s">
        <v>227</v>
      </c>
      <c r="F64" s="51" t="s">
        <v>276</v>
      </c>
      <c r="G64" s="52">
        <v>2</v>
      </c>
      <c r="H64" s="53">
        <f t="shared" si="7"/>
        <v>46209</v>
      </c>
      <c r="I64" s="53">
        <f t="shared" si="5"/>
        <v>46211</v>
      </c>
      <c r="J64" s="54">
        <f t="shared" si="6"/>
        <v>2</v>
      </c>
      <c r="K64" s="102" t="s">
        <v>22</v>
      </c>
    </row>
    <row r="65" spans="1:11">
      <c r="A65" s="51" t="str" cm="1">
        <f t="array" ref="A65">INDEX('Sprint Calendar'!$A:$A, MATCH(1, ('Project Planning (2)'!I152 &gt;= 'Sprint Calendar'!$B:$B) * ('Project Planning (2)'!H152 &lt;= 'Sprint Calendar'!$C:$C), 0))</f>
        <v>Sprint 7</v>
      </c>
      <c r="B65" s="81" t="s">
        <v>84</v>
      </c>
      <c r="C65" s="77" t="s">
        <v>231</v>
      </c>
      <c r="D65" s="51" t="s">
        <v>46</v>
      </c>
      <c r="E65" s="51" t="s">
        <v>232</v>
      </c>
      <c r="F65" s="51" t="s">
        <v>276</v>
      </c>
      <c r="G65" s="52">
        <v>1</v>
      </c>
      <c r="H65" s="53">
        <f t="shared" si="7"/>
        <v>46212</v>
      </c>
      <c r="I65" s="53">
        <f t="shared" si="5"/>
        <v>46213</v>
      </c>
      <c r="J65" s="54">
        <f t="shared" si="6"/>
        <v>1</v>
      </c>
      <c r="K65" s="102" t="s">
        <v>22</v>
      </c>
    </row>
    <row r="66" spans="1:11">
      <c r="A66" s="51" t="str" cm="1">
        <f t="array" ref="A66">INDEX('Sprint Calendar'!$A:$A, MATCH(1, ('Project Planning (2)'!I153 &gt;= 'Sprint Calendar'!$B:$B) * ('Project Planning (2)'!H153 &lt;= 'Sprint Calendar'!$C:$C), 0))</f>
        <v>Sprint 8</v>
      </c>
      <c r="B66" s="81" t="s">
        <v>84</v>
      </c>
      <c r="C66" s="77" t="s">
        <v>231</v>
      </c>
      <c r="D66" s="51" t="s">
        <v>46</v>
      </c>
      <c r="E66" s="51" t="s">
        <v>233</v>
      </c>
      <c r="F66" s="51" t="s">
        <v>276</v>
      </c>
      <c r="G66" s="52">
        <v>1</v>
      </c>
      <c r="H66" s="53">
        <f t="shared" si="7"/>
        <v>46216</v>
      </c>
      <c r="I66" s="53">
        <f t="shared" si="5"/>
        <v>46217</v>
      </c>
      <c r="J66" s="54">
        <f t="shared" si="6"/>
        <v>1</v>
      </c>
      <c r="K66" s="102" t="s">
        <v>22</v>
      </c>
    </row>
    <row r="67" spans="1:11">
      <c r="A67" s="51" t="str" cm="1">
        <f t="array" ref="A67">INDEX('Sprint Calendar'!$A:$A, MATCH(1, ('Project Planning (2)'!I157 &gt;= 'Sprint Calendar'!$B:$B) * ('Project Planning (2)'!H157 &lt;= 'Sprint Calendar'!$C:$C), 0))</f>
        <v>Sprint 9</v>
      </c>
      <c r="B67" s="81" t="s">
        <v>84</v>
      </c>
      <c r="C67" s="77" t="s">
        <v>237</v>
      </c>
      <c r="D67" s="51" t="s">
        <v>46</v>
      </c>
      <c r="E67" s="51" t="s">
        <v>238</v>
      </c>
      <c r="F67" s="51" t="s">
        <v>276</v>
      </c>
      <c r="G67" s="52">
        <v>1</v>
      </c>
      <c r="H67" s="53">
        <f t="shared" si="7"/>
        <v>46218</v>
      </c>
      <c r="I67" s="53">
        <f t="shared" si="5"/>
        <v>46219</v>
      </c>
      <c r="J67" s="54">
        <f t="shared" si="6"/>
        <v>1</v>
      </c>
      <c r="K67" s="102" t="s">
        <v>22</v>
      </c>
    </row>
    <row r="68" spans="1:11">
      <c r="A68" s="51" t="str" cm="1">
        <f t="array" ref="A68">INDEX('Sprint Calendar'!$A:$A, MATCH(1, ('Project Planning (2)'!I158 &gt;= 'Sprint Calendar'!$B:$B) * ('Project Planning (2)'!H158 &lt;= 'Sprint Calendar'!$C:$C), 0))</f>
        <v>Sprint 9</v>
      </c>
      <c r="B68" s="81" t="s">
        <v>84</v>
      </c>
      <c r="C68" s="77" t="s">
        <v>237</v>
      </c>
      <c r="D68" s="51" t="s">
        <v>46</v>
      </c>
      <c r="E68" s="51" t="s">
        <v>239</v>
      </c>
      <c r="F68" s="51" t="s">
        <v>276</v>
      </c>
      <c r="G68" s="52">
        <v>1</v>
      </c>
      <c r="H68" s="53">
        <f t="shared" si="7"/>
        <v>46220</v>
      </c>
      <c r="I68" s="53">
        <f t="shared" si="5"/>
        <v>46223</v>
      </c>
      <c r="J68" s="54">
        <f t="shared" si="6"/>
        <v>1</v>
      </c>
      <c r="K68" s="102" t="s">
        <v>22</v>
      </c>
    </row>
    <row r="69" spans="1:11">
      <c r="A69" s="51" t="str" cm="1">
        <f t="array" ref="A69">INDEX('Sprint Calendar'!$A:$A, MATCH(1, ('Project Planning (2)'!I162 &gt;= 'Sprint Calendar'!$B:$B) * ('Project Planning (2)'!H162 &lt;= 'Sprint Calendar'!$C:$C), 0))</f>
        <v>Sprint 11</v>
      </c>
      <c r="B69" s="81" t="s">
        <v>84</v>
      </c>
      <c r="C69" s="77" t="s">
        <v>243</v>
      </c>
      <c r="D69" s="51" t="s">
        <v>46</v>
      </c>
      <c r="E69" s="51" t="s">
        <v>244</v>
      </c>
      <c r="F69" s="51" t="s">
        <v>276</v>
      </c>
      <c r="G69" s="52">
        <v>1</v>
      </c>
      <c r="H69" s="53">
        <f t="shared" si="7"/>
        <v>46224</v>
      </c>
      <c r="I69" s="53">
        <f t="shared" si="5"/>
        <v>46225</v>
      </c>
      <c r="J69" s="54">
        <f t="shared" si="6"/>
        <v>1</v>
      </c>
      <c r="K69" s="102" t="s">
        <v>22</v>
      </c>
    </row>
    <row r="70" spans="1:11">
      <c r="A70" s="51" t="str" cm="1">
        <f t="array" ref="A70">INDEX('Sprint Calendar'!$A:$A, MATCH(1, ('Project Planning (2)'!I163 &gt;= 'Sprint Calendar'!$B:$B) * ('Project Planning (2)'!H163 &lt;= 'Sprint Calendar'!$C:$C), 0))</f>
        <v>Sprint 11</v>
      </c>
      <c r="B70" s="81" t="s">
        <v>84</v>
      </c>
      <c r="C70" s="77" t="s">
        <v>243</v>
      </c>
      <c r="D70" s="51" t="s">
        <v>46</v>
      </c>
      <c r="E70" s="51" t="s">
        <v>245</v>
      </c>
      <c r="F70" s="51" t="s">
        <v>276</v>
      </c>
      <c r="G70" s="52">
        <v>1</v>
      </c>
      <c r="H70" s="53">
        <f t="shared" si="7"/>
        <v>46226</v>
      </c>
      <c r="I70" s="53">
        <f t="shared" si="5"/>
        <v>46227</v>
      </c>
      <c r="J70" s="54">
        <f t="shared" si="6"/>
        <v>1</v>
      </c>
      <c r="K70" s="102" t="s">
        <v>22</v>
      </c>
    </row>
    <row r="71" spans="1:11">
      <c r="A71" s="51" t="str" cm="1">
        <f t="array" ref="A71">INDEX('Sprint Calendar'!$A:$A, MATCH(1, ('Project Planning (2)'!I167 &gt;= 'Sprint Calendar'!$B:$B) * ('Project Planning (2)'!H167 &lt;= 'Sprint Calendar'!$C:$C), 0))</f>
        <v>Sprint 12</v>
      </c>
      <c r="B71" s="81" t="s">
        <v>84</v>
      </c>
      <c r="C71" s="77" t="s">
        <v>249</v>
      </c>
      <c r="D71" s="51" t="s">
        <v>46</v>
      </c>
      <c r="E71" s="51" t="s">
        <v>250</v>
      </c>
      <c r="F71" s="51" t="s">
        <v>276</v>
      </c>
      <c r="G71" s="52">
        <v>1</v>
      </c>
      <c r="H71" s="53">
        <f t="shared" si="7"/>
        <v>46230</v>
      </c>
      <c r="I71" s="53">
        <f t="shared" si="5"/>
        <v>46231</v>
      </c>
      <c r="J71" s="54">
        <f t="shared" si="6"/>
        <v>1</v>
      </c>
      <c r="K71" s="102" t="s">
        <v>22</v>
      </c>
    </row>
    <row r="72" spans="1:11">
      <c r="A72" s="51" t="str" cm="1">
        <f t="array" ref="A72">INDEX('Sprint Calendar'!$A:$A, MATCH(1, ('Project Planning (2)'!I168 &gt;= 'Sprint Calendar'!$B:$B) * ('Project Planning (2)'!H168 &lt;= 'Sprint Calendar'!$C:$C), 0))</f>
        <v>Sprint 13</v>
      </c>
      <c r="B72" s="81" t="s">
        <v>84</v>
      </c>
      <c r="C72" s="77" t="s">
        <v>249</v>
      </c>
      <c r="D72" s="51" t="s">
        <v>46</v>
      </c>
      <c r="E72" s="51" t="s">
        <v>251</v>
      </c>
      <c r="F72" s="51" t="s">
        <v>276</v>
      </c>
      <c r="G72" s="52">
        <v>1</v>
      </c>
      <c r="H72" s="53">
        <f t="shared" si="7"/>
        <v>46232</v>
      </c>
      <c r="I72" s="53">
        <f t="shared" si="5"/>
        <v>46233</v>
      </c>
      <c r="J72" s="54">
        <f t="shared" si="6"/>
        <v>1</v>
      </c>
      <c r="K72" s="102" t="s">
        <v>22</v>
      </c>
    </row>
    <row r="73" spans="1:11" ht="13.5">
      <c r="A73" s="51" t="str" cm="1">
        <f t="array" ref="A73">INDEX('Sprint Calendar'!$A:$A, MATCH(1, ('Project Planning (2)'!I172 &gt;= 'Sprint Calendar'!$B:$B) * ('Project Planning (2)'!H172 &lt;= 'Sprint Calendar'!$C:$C), 0))</f>
        <v>Sprint 13</v>
      </c>
      <c r="B73" s="81" t="s">
        <v>84</v>
      </c>
      <c r="C73" s="77" t="s">
        <v>255</v>
      </c>
      <c r="D73" s="51" t="s">
        <v>46</v>
      </c>
      <c r="E73" s="77" t="s">
        <v>256</v>
      </c>
      <c r="F73" s="51" t="s">
        <v>276</v>
      </c>
      <c r="G73" s="52">
        <v>1</v>
      </c>
      <c r="H73" s="53">
        <f t="shared" si="7"/>
        <v>46234</v>
      </c>
      <c r="I73" s="53">
        <f t="shared" si="5"/>
        <v>46237</v>
      </c>
      <c r="J73" s="54">
        <f t="shared" si="6"/>
        <v>1</v>
      </c>
      <c r="K73" s="102" t="s">
        <v>22</v>
      </c>
    </row>
    <row r="74" spans="1:11" ht="13.5">
      <c r="A74" s="51" t="str" cm="1">
        <f t="array" ref="A74">INDEX('Sprint Calendar'!$A:$A, MATCH(1, ('Project Planning (2)'!I173 &gt;= 'Sprint Calendar'!$B:$B) * ('Project Planning (2)'!H173 &lt;= 'Sprint Calendar'!$C:$C), 0))</f>
        <v>Sprint 13</v>
      </c>
      <c r="B74" s="81" t="s">
        <v>84</v>
      </c>
      <c r="C74" s="77" t="s">
        <v>255</v>
      </c>
      <c r="D74" s="51" t="s">
        <v>46</v>
      </c>
      <c r="E74" s="77" t="s">
        <v>257</v>
      </c>
      <c r="F74" s="51" t="s">
        <v>276</v>
      </c>
      <c r="G74" s="52">
        <v>1</v>
      </c>
      <c r="H74" s="53">
        <f t="shared" si="7"/>
        <v>46238</v>
      </c>
      <c r="I74" s="53">
        <f t="shared" si="5"/>
        <v>46239</v>
      </c>
      <c r="J74" s="54">
        <f t="shared" si="6"/>
        <v>1</v>
      </c>
      <c r="K74" s="102" t="s">
        <v>22</v>
      </c>
    </row>
    <row r="75" spans="1:11">
      <c r="A75" s="51" t="str" cm="1">
        <f t="array" ref="A75">INDEX('Sprint Calendar'!$A:$A, MATCH(1, ('Project Planning (2)'!I176 &gt;= 'Sprint Calendar'!$B:$B) * ('Project Planning (2)'!H176 &lt;= 'Sprint Calendar'!$C:$C), 0))</f>
        <v>Sprint 15</v>
      </c>
      <c r="B75" s="81" t="s">
        <v>84</v>
      </c>
      <c r="C75" s="77" t="s">
        <v>260</v>
      </c>
      <c r="D75" s="51" t="s">
        <v>46</v>
      </c>
      <c r="E75" s="77" t="s">
        <v>261</v>
      </c>
      <c r="F75" s="51" t="s">
        <v>276</v>
      </c>
      <c r="G75" s="52">
        <v>1</v>
      </c>
      <c r="H75" s="53">
        <f t="shared" si="7"/>
        <v>46240</v>
      </c>
      <c r="I75" s="53">
        <f t="shared" ref="I75:I106" si="8">WORKDAY(H75,J75)</f>
        <v>46241</v>
      </c>
      <c r="J75" s="54">
        <f t="shared" si="6"/>
        <v>1</v>
      </c>
      <c r="K75" s="102" t="s">
        <v>22</v>
      </c>
    </row>
    <row r="76" spans="1:11">
      <c r="A76" s="51" t="str" cm="1">
        <f t="array" ref="A76">INDEX('Sprint Calendar'!$A:$A, MATCH(1, ('Project Planning (2)'!I177 &gt;= 'Sprint Calendar'!$B:$B) * ('Project Planning (2)'!H177 &lt;= 'Sprint Calendar'!$C:$C), 0))</f>
        <v>Sprint 15</v>
      </c>
      <c r="B76" s="81" t="s">
        <v>84</v>
      </c>
      <c r="C76" s="77" t="s">
        <v>260</v>
      </c>
      <c r="D76" s="51" t="s">
        <v>46</v>
      </c>
      <c r="E76" s="77" t="s">
        <v>263</v>
      </c>
      <c r="F76" s="51" t="s">
        <v>276</v>
      </c>
      <c r="G76" s="52">
        <v>1</v>
      </c>
      <c r="H76" s="53">
        <f t="shared" ref="H76:H93" si="9">WORKDAY(I75,1)</f>
        <v>46244</v>
      </c>
      <c r="I76" s="53">
        <f t="shared" si="8"/>
        <v>46245</v>
      </c>
      <c r="J76" s="54">
        <f t="shared" si="6"/>
        <v>1</v>
      </c>
      <c r="K76" s="102" t="s">
        <v>22</v>
      </c>
    </row>
    <row r="77" spans="1:11">
      <c r="A77" s="51" t="str" cm="1">
        <f t="array" ref="A77">INDEX('Sprint Calendar'!$A:$A, MATCH(1, ('Project Planning (2)'!I180 &gt;= 'Sprint Calendar'!$B:$B) * ('Project Planning (2)'!H180 &lt;= 'Sprint Calendar'!$C:$C), 0))</f>
        <v>Sprint 16</v>
      </c>
      <c r="B77" s="81" t="s">
        <v>84</v>
      </c>
      <c r="C77" s="77" t="s">
        <v>266</v>
      </c>
      <c r="D77" s="51" t="s">
        <v>46</v>
      </c>
      <c r="E77" s="77" t="s">
        <v>267</v>
      </c>
      <c r="F77" s="51" t="s">
        <v>276</v>
      </c>
      <c r="G77" s="52">
        <v>1</v>
      </c>
      <c r="H77" s="53">
        <f t="shared" si="9"/>
        <v>46246</v>
      </c>
      <c r="I77" s="53">
        <f t="shared" si="8"/>
        <v>46247</v>
      </c>
      <c r="J77" s="54">
        <f t="shared" si="6"/>
        <v>1</v>
      </c>
      <c r="K77" s="102" t="s">
        <v>22</v>
      </c>
    </row>
    <row r="78" spans="1:11">
      <c r="A78" s="51" t="str" cm="1">
        <f t="array" ref="A78">INDEX('Sprint Calendar'!$A:$A, MATCH(1, ('Project Planning (2)'!I181 &gt;= 'Sprint Calendar'!$B:$B) * ('Project Planning (2)'!H181 &lt;= 'Sprint Calendar'!$C:$C), 0))</f>
        <v>Sprint 17</v>
      </c>
      <c r="B78" s="81" t="s">
        <v>84</v>
      </c>
      <c r="C78" s="77" t="s">
        <v>266</v>
      </c>
      <c r="D78" s="51" t="s">
        <v>46</v>
      </c>
      <c r="E78" s="77" t="s">
        <v>269</v>
      </c>
      <c r="F78" s="51" t="s">
        <v>276</v>
      </c>
      <c r="G78" s="52">
        <v>1</v>
      </c>
      <c r="H78" s="53">
        <f t="shared" si="9"/>
        <v>46248</v>
      </c>
      <c r="I78" s="53">
        <f t="shared" si="8"/>
        <v>46251</v>
      </c>
      <c r="J78" s="54">
        <f t="shared" si="6"/>
        <v>1</v>
      </c>
      <c r="K78" s="102" t="s">
        <v>22</v>
      </c>
    </row>
    <row r="79" spans="1:11" hidden="1">
      <c r="A79" s="51" t="str" cm="1">
        <f t="array" ref="A79">INDEX('Sprint Calendar'!$A:$A, MATCH(1, ('Project Planning (2)'!I184 &gt;= 'Sprint Calendar'!$B:$B) * ('Project Planning (2)'!H184 &lt;= 'Sprint Calendar'!$C:$C), 0))</f>
        <v>Sprint 18</v>
      </c>
      <c r="B79" s="49" t="s">
        <v>274</v>
      </c>
      <c r="C79" s="77" t="s">
        <v>282</v>
      </c>
      <c r="D79" s="51" t="s">
        <v>46</v>
      </c>
      <c r="E79" s="51" t="s">
        <v>283</v>
      </c>
      <c r="F79" s="51" t="s">
        <v>276</v>
      </c>
      <c r="G79" s="52">
        <v>0.5</v>
      </c>
      <c r="H79" s="53">
        <f t="shared" si="9"/>
        <v>46252</v>
      </c>
      <c r="I79" s="53">
        <f t="shared" si="8"/>
        <v>46252</v>
      </c>
      <c r="J79" s="54">
        <f t="shared" ref="J79:J126" si="10">G79/$N$5</f>
        <v>0.5</v>
      </c>
      <c r="K79" s="102" t="s">
        <v>22</v>
      </c>
    </row>
    <row r="80" spans="1:11" hidden="1">
      <c r="A80" s="51" t="str" cm="1">
        <f t="array" ref="A80">INDEX('Sprint Calendar'!$A:$A, MATCH(1, ('Project Planning (2)'!I185 &gt;= 'Sprint Calendar'!$B:$B) * ('Project Planning (2)'!H185 &lt;= 'Sprint Calendar'!$C:$C), 0))</f>
        <v>Sprint 18</v>
      </c>
      <c r="B80" s="49" t="s">
        <v>274</v>
      </c>
      <c r="C80" s="77" t="s">
        <v>282</v>
      </c>
      <c r="D80" s="51" t="s">
        <v>46</v>
      </c>
      <c r="E80" s="51" t="s">
        <v>284</v>
      </c>
      <c r="F80" s="51" t="s">
        <v>276</v>
      </c>
      <c r="G80" s="52">
        <v>0.5</v>
      </c>
      <c r="H80" s="53">
        <f t="shared" si="9"/>
        <v>46253</v>
      </c>
      <c r="I80" s="53">
        <f t="shared" si="8"/>
        <v>46253</v>
      </c>
      <c r="J80" s="54">
        <f t="shared" si="10"/>
        <v>0.5</v>
      </c>
      <c r="K80" s="102" t="s">
        <v>22</v>
      </c>
    </row>
    <row r="81" spans="1:11" hidden="1">
      <c r="A81" s="51" t="str" cm="1">
        <f t="array" ref="A81">INDEX('Sprint Calendar'!$A:$A, MATCH(1, ('Project Planning (2)'!I189 &gt;= 'Sprint Calendar'!$B:$B) * ('Project Planning (2)'!H189 &lt;= 'Sprint Calendar'!$C:$C), 0))</f>
        <v>Sprint 19</v>
      </c>
      <c r="B81" s="49" t="s">
        <v>274</v>
      </c>
      <c r="C81" s="77" t="s">
        <v>290</v>
      </c>
      <c r="D81" s="51" t="s">
        <v>46</v>
      </c>
      <c r="E81" s="51" t="s">
        <v>291</v>
      </c>
      <c r="F81" s="51" t="s">
        <v>276</v>
      </c>
      <c r="G81" s="52">
        <v>0.5</v>
      </c>
      <c r="H81" s="53">
        <f t="shared" si="9"/>
        <v>46254</v>
      </c>
      <c r="I81" s="53">
        <f t="shared" si="8"/>
        <v>46254</v>
      </c>
      <c r="J81" s="54">
        <f t="shared" si="10"/>
        <v>0.5</v>
      </c>
      <c r="K81" s="102" t="s">
        <v>22</v>
      </c>
    </row>
    <row r="82" spans="1:11" hidden="1">
      <c r="A82" s="51" t="str" cm="1">
        <f t="array" ref="A82">INDEX('Sprint Calendar'!$A:$A, MATCH(1, ('Project Planning (2)'!I190 &gt;= 'Sprint Calendar'!$B:$B) * ('Project Planning (2)'!H190 &lt;= 'Sprint Calendar'!$C:$C), 0))</f>
        <v>Sprint 20</v>
      </c>
      <c r="B82" s="49" t="s">
        <v>274</v>
      </c>
      <c r="C82" s="77" t="s">
        <v>290</v>
      </c>
      <c r="D82" s="51" t="s">
        <v>46</v>
      </c>
      <c r="E82" s="51" t="s">
        <v>292</v>
      </c>
      <c r="F82" s="51" t="s">
        <v>276</v>
      </c>
      <c r="G82" s="52">
        <v>0.5</v>
      </c>
      <c r="H82" s="53">
        <f t="shared" si="9"/>
        <v>46255</v>
      </c>
      <c r="I82" s="53">
        <f t="shared" si="8"/>
        <v>46255</v>
      </c>
      <c r="J82" s="54">
        <f t="shared" si="10"/>
        <v>0.5</v>
      </c>
      <c r="K82" s="102" t="s">
        <v>22</v>
      </c>
    </row>
    <row r="83" spans="1:11" hidden="1">
      <c r="A83" s="51" t="str" cm="1">
        <f t="array" ref="A83">INDEX('Sprint Calendar'!$A:$A, MATCH(1, ('Project Planning (2)'!I194 &gt;= 'Sprint Calendar'!$B:$B) * ('Project Planning (2)'!H194 &lt;= 'Sprint Calendar'!$C:$C), 0))</f>
        <v>Sprint 21</v>
      </c>
      <c r="B83" s="49" t="s">
        <v>274</v>
      </c>
      <c r="C83" s="77" t="s">
        <v>297</v>
      </c>
      <c r="D83" s="51" t="s">
        <v>46</v>
      </c>
      <c r="E83" s="51" t="s">
        <v>298</v>
      </c>
      <c r="F83" s="51" t="s">
        <v>276</v>
      </c>
      <c r="G83" s="52">
        <v>0.5</v>
      </c>
      <c r="H83" s="53">
        <f t="shared" si="9"/>
        <v>46258</v>
      </c>
      <c r="I83" s="53">
        <f t="shared" si="8"/>
        <v>46258</v>
      </c>
      <c r="J83" s="54">
        <f t="shared" si="10"/>
        <v>0.5</v>
      </c>
      <c r="K83" s="102" t="s">
        <v>22</v>
      </c>
    </row>
    <row r="84" spans="1:11" hidden="1">
      <c r="A84" s="51" t="str" cm="1">
        <f t="array" ref="A84">INDEX('Sprint Calendar'!$A:$A, MATCH(1, ('Project Planning (2)'!I195 &gt;= 'Sprint Calendar'!$B:$B) * ('Project Planning (2)'!H195 &lt;= 'Sprint Calendar'!$C:$C), 0))</f>
        <v>Sprint 21</v>
      </c>
      <c r="B84" s="49" t="s">
        <v>274</v>
      </c>
      <c r="C84" s="77" t="s">
        <v>297</v>
      </c>
      <c r="D84" s="51" t="s">
        <v>46</v>
      </c>
      <c r="E84" s="51" t="s">
        <v>299</v>
      </c>
      <c r="F84" s="51" t="s">
        <v>276</v>
      </c>
      <c r="G84" s="52">
        <v>0.5</v>
      </c>
      <c r="H84" s="53">
        <f t="shared" si="9"/>
        <v>46259</v>
      </c>
      <c r="I84" s="53">
        <f t="shared" si="8"/>
        <v>46259</v>
      </c>
      <c r="J84" s="54">
        <f t="shared" si="10"/>
        <v>0.5</v>
      </c>
      <c r="K84" s="102" t="s">
        <v>22</v>
      </c>
    </row>
    <row r="85" spans="1:11" hidden="1">
      <c r="A85" s="51" t="str" cm="1">
        <f t="array" ref="A85">INDEX('Sprint Calendar'!$A:$A, MATCH(1, ('Project Planning (2)'!I199 &gt;= 'Sprint Calendar'!$B:$B) * ('Project Planning (2)'!H199 &lt;= 'Sprint Calendar'!$C:$C), 0))</f>
        <v>Sprint 22</v>
      </c>
      <c r="B85" s="49" t="s">
        <v>274</v>
      </c>
      <c r="C85" s="77" t="s">
        <v>304</v>
      </c>
      <c r="D85" s="51" t="s">
        <v>46</v>
      </c>
      <c r="E85" s="51" t="s">
        <v>305</v>
      </c>
      <c r="F85" s="51" t="s">
        <v>276</v>
      </c>
      <c r="G85" s="52">
        <v>0.2</v>
      </c>
      <c r="H85" s="53">
        <f t="shared" si="9"/>
        <v>46260</v>
      </c>
      <c r="I85" s="53">
        <f t="shared" si="8"/>
        <v>46260</v>
      </c>
      <c r="J85" s="54">
        <f t="shared" si="10"/>
        <v>0.2</v>
      </c>
      <c r="K85" s="102" t="s">
        <v>22</v>
      </c>
    </row>
    <row r="86" spans="1:11" hidden="1">
      <c r="A86" s="51" t="str" cm="1">
        <f t="array" ref="A86">INDEX('Sprint Calendar'!$A:$A, MATCH(1, ('Project Planning (2)'!I200 &gt;= 'Sprint Calendar'!$B:$B) * ('Project Planning (2)'!H200 &lt;= 'Sprint Calendar'!$C:$C), 0))</f>
        <v>Sprint 22</v>
      </c>
      <c r="B86" s="49" t="s">
        <v>274</v>
      </c>
      <c r="C86" s="77" t="s">
        <v>304</v>
      </c>
      <c r="D86" s="51" t="s">
        <v>46</v>
      </c>
      <c r="E86" s="51" t="s">
        <v>306</v>
      </c>
      <c r="F86" s="51" t="s">
        <v>276</v>
      </c>
      <c r="G86" s="52">
        <v>0.3</v>
      </c>
      <c r="H86" s="53">
        <f t="shared" si="9"/>
        <v>46261</v>
      </c>
      <c r="I86" s="53">
        <f t="shared" si="8"/>
        <v>46261</v>
      </c>
      <c r="J86" s="54">
        <f t="shared" si="10"/>
        <v>0.3</v>
      </c>
      <c r="K86" s="102" t="s">
        <v>22</v>
      </c>
    </row>
    <row r="87" spans="1:11" hidden="1">
      <c r="A87" s="51" t="str" cm="1">
        <f t="array" ref="A87">INDEX('Sprint Calendar'!$A:$A, MATCH(1, ('Project Planning (2)'!I204 &gt;= 'Sprint Calendar'!$B:$B) * ('Project Planning (2)'!H204 &lt;= 'Sprint Calendar'!$C:$C), 0))</f>
        <v>Sprint 23</v>
      </c>
      <c r="B87" s="49" t="s">
        <v>274</v>
      </c>
      <c r="C87" s="77" t="s">
        <v>310</v>
      </c>
      <c r="D87" s="51" t="s">
        <v>46</v>
      </c>
      <c r="E87" s="51" t="s">
        <v>311</v>
      </c>
      <c r="F87" s="51" t="s">
        <v>276</v>
      </c>
      <c r="G87" s="52">
        <v>0.2</v>
      </c>
      <c r="H87" s="53">
        <f t="shared" si="9"/>
        <v>46262</v>
      </c>
      <c r="I87" s="53">
        <f t="shared" si="8"/>
        <v>46262</v>
      </c>
      <c r="J87" s="54">
        <f t="shared" si="10"/>
        <v>0.2</v>
      </c>
      <c r="K87" s="102" t="s">
        <v>22</v>
      </c>
    </row>
    <row r="88" spans="1:11" hidden="1">
      <c r="A88" s="51" t="str" cm="1">
        <f t="array" ref="A88">INDEX('Sprint Calendar'!$A:$A, MATCH(1, ('Project Planning (2)'!I205 &gt;= 'Sprint Calendar'!$B:$B) * ('Project Planning (2)'!H205 &lt;= 'Sprint Calendar'!$C:$C), 0))</f>
        <v>Sprint 24</v>
      </c>
      <c r="B88" s="49" t="s">
        <v>274</v>
      </c>
      <c r="C88" s="77" t="s">
        <v>310</v>
      </c>
      <c r="D88" s="51" t="s">
        <v>46</v>
      </c>
      <c r="E88" s="51" t="s">
        <v>312</v>
      </c>
      <c r="F88" s="51" t="s">
        <v>276</v>
      </c>
      <c r="G88" s="52">
        <v>0.3</v>
      </c>
      <c r="H88" s="53">
        <f t="shared" si="9"/>
        <v>46265</v>
      </c>
      <c r="I88" s="53">
        <f t="shared" si="8"/>
        <v>46265</v>
      </c>
      <c r="J88" s="54">
        <f t="shared" si="10"/>
        <v>0.3</v>
      </c>
      <c r="K88" s="102" t="s">
        <v>22</v>
      </c>
    </row>
    <row r="89" spans="1:11" hidden="1">
      <c r="A89" s="51" t="str" cm="1">
        <f t="array" ref="A89">INDEX('Sprint Calendar'!$A:$A, MATCH(1, ('Project Planning (2)'!I209 &gt;= 'Sprint Calendar'!$B:$B) * ('Project Planning (2)'!H209 &lt;= 'Sprint Calendar'!$C:$C), 0))</f>
        <v>Sprint 25</v>
      </c>
      <c r="B89" s="49" t="s">
        <v>274</v>
      </c>
      <c r="C89" s="77" t="s">
        <v>317</v>
      </c>
      <c r="D89" s="51" t="s">
        <v>46</v>
      </c>
      <c r="E89" s="51" t="s">
        <v>318</v>
      </c>
      <c r="F89" s="51" t="s">
        <v>276</v>
      </c>
      <c r="G89" s="52">
        <v>1</v>
      </c>
      <c r="H89" s="53">
        <f t="shared" si="9"/>
        <v>46266</v>
      </c>
      <c r="I89" s="53">
        <f t="shared" si="8"/>
        <v>46267</v>
      </c>
      <c r="J89" s="54">
        <f t="shared" si="10"/>
        <v>1</v>
      </c>
      <c r="K89" s="102" t="s">
        <v>22</v>
      </c>
    </row>
    <row r="90" spans="1:11" hidden="1">
      <c r="A90" s="51" t="str" cm="1">
        <f t="array" ref="A90">INDEX('Sprint Calendar'!$A:$A, MATCH(1, ('Project Planning (2)'!I210 &gt;= 'Sprint Calendar'!$B:$B) * ('Project Planning (2)'!H210 &lt;= 'Sprint Calendar'!$C:$C), 0))</f>
        <v>Sprint 25</v>
      </c>
      <c r="B90" s="49" t="s">
        <v>274</v>
      </c>
      <c r="C90" s="77" t="s">
        <v>317</v>
      </c>
      <c r="D90" s="51" t="s">
        <v>46</v>
      </c>
      <c r="E90" s="51" t="s">
        <v>319</v>
      </c>
      <c r="F90" s="51" t="s">
        <v>276</v>
      </c>
      <c r="G90" s="52">
        <v>1</v>
      </c>
      <c r="H90" s="53">
        <f t="shared" si="9"/>
        <v>46268</v>
      </c>
      <c r="I90" s="53">
        <f t="shared" si="8"/>
        <v>46269</v>
      </c>
      <c r="J90" s="54">
        <f t="shared" si="10"/>
        <v>1</v>
      </c>
      <c r="K90" s="102" t="s">
        <v>22</v>
      </c>
    </row>
    <row r="91" spans="1:11" hidden="1">
      <c r="A91" s="51" t="s">
        <v>273</v>
      </c>
      <c r="B91" s="49" t="s">
        <v>274</v>
      </c>
      <c r="C91" s="51" t="s">
        <v>45</v>
      </c>
      <c r="D91" s="51" t="s">
        <v>50</v>
      </c>
      <c r="E91" s="51" t="s">
        <v>51</v>
      </c>
      <c r="F91" s="51" t="s">
        <v>18</v>
      </c>
      <c r="G91" s="52">
        <v>5</v>
      </c>
      <c r="H91" s="53">
        <f t="shared" si="9"/>
        <v>46272</v>
      </c>
      <c r="I91" s="53">
        <f t="shared" si="8"/>
        <v>46279</v>
      </c>
      <c r="J91" s="54">
        <f t="shared" si="10"/>
        <v>5</v>
      </c>
      <c r="K91" s="102" t="s">
        <v>9</v>
      </c>
    </row>
    <row r="92" spans="1:11" hidden="1">
      <c r="A92" s="51" t="s">
        <v>273</v>
      </c>
      <c r="B92" s="49" t="s">
        <v>274</v>
      </c>
      <c r="C92" s="51" t="s">
        <v>45</v>
      </c>
      <c r="D92" s="51" t="s">
        <v>50</v>
      </c>
      <c r="E92" s="51" t="s">
        <v>52</v>
      </c>
      <c r="F92" s="51" t="s">
        <v>18</v>
      </c>
      <c r="G92" s="52">
        <v>5</v>
      </c>
      <c r="H92" s="53">
        <f t="shared" si="9"/>
        <v>46280</v>
      </c>
      <c r="I92" s="53">
        <f t="shared" si="8"/>
        <v>46287</v>
      </c>
      <c r="J92" s="54">
        <f t="shared" si="10"/>
        <v>5</v>
      </c>
      <c r="K92" s="102" t="s">
        <v>9</v>
      </c>
    </row>
    <row r="93" spans="1:11" hidden="1">
      <c r="A93" s="51" t="s">
        <v>273</v>
      </c>
      <c r="B93" s="49" t="s">
        <v>274</v>
      </c>
      <c r="C93" s="51" t="s">
        <v>45</v>
      </c>
      <c r="D93" s="51" t="s">
        <v>50</v>
      </c>
      <c r="E93" s="51" t="s">
        <v>54</v>
      </c>
      <c r="F93" s="51" t="s">
        <v>18</v>
      </c>
      <c r="G93" s="52">
        <v>5</v>
      </c>
      <c r="H93" s="53">
        <f t="shared" si="9"/>
        <v>46288</v>
      </c>
      <c r="I93" s="53">
        <f t="shared" si="8"/>
        <v>46295</v>
      </c>
      <c r="J93" s="54">
        <f t="shared" si="10"/>
        <v>5</v>
      </c>
      <c r="K93" s="102" t="s">
        <v>9</v>
      </c>
    </row>
    <row r="94" spans="1:11">
      <c r="A94" s="51" t="str" cm="1">
        <f t="array" ref="A94">INDEX('Sprint Calendar'!$A:$A, MATCH(1, ('Project Planning (2)'!I17 &gt;= 'Sprint Calendar'!$B:$B) * ('Project Planning (2)'!H17 &lt;= 'Sprint Calendar'!$C:$C), 0))</f>
        <v>Sprint 5</v>
      </c>
      <c r="B94" s="81" t="s">
        <v>44</v>
      </c>
      <c r="C94" s="51" t="s">
        <v>45</v>
      </c>
      <c r="D94" s="51" t="s">
        <v>50</v>
      </c>
      <c r="E94" s="51" t="s">
        <v>51</v>
      </c>
      <c r="F94" s="51" t="s">
        <v>18</v>
      </c>
      <c r="G94" s="52">
        <v>3</v>
      </c>
      <c r="H94" s="53">
        <v>45985</v>
      </c>
      <c r="I94" s="53">
        <f t="shared" si="8"/>
        <v>45988</v>
      </c>
      <c r="J94" s="54">
        <f t="shared" si="10"/>
        <v>3</v>
      </c>
      <c r="K94" s="55" t="s">
        <v>16</v>
      </c>
    </row>
    <row r="95" spans="1:11">
      <c r="A95" s="51" t="str" cm="1">
        <f t="array" ref="A95">INDEX('Sprint Calendar'!$A:$A, MATCH(1, ('Project Planning (2)'!I18 &gt;= 'Sprint Calendar'!$B:$B) * ('Project Planning (2)'!H18 &lt;= 'Sprint Calendar'!$C:$C), 0))</f>
        <v>Sprint 5</v>
      </c>
      <c r="B95" s="81" t="s">
        <v>44</v>
      </c>
      <c r="C95" s="51" t="s">
        <v>45</v>
      </c>
      <c r="D95" s="51" t="s">
        <v>50</v>
      </c>
      <c r="E95" s="51" t="s">
        <v>52</v>
      </c>
      <c r="F95" s="51" t="s">
        <v>18</v>
      </c>
      <c r="G95" s="52">
        <v>5</v>
      </c>
      <c r="H95" s="53">
        <f>WORKDAY(I94,1)</f>
        <v>45989</v>
      </c>
      <c r="I95" s="53">
        <f t="shared" si="8"/>
        <v>45996</v>
      </c>
      <c r="J95" s="54">
        <f t="shared" si="10"/>
        <v>5</v>
      </c>
      <c r="K95" s="55" t="s">
        <v>22</v>
      </c>
    </row>
    <row r="96" spans="1:11">
      <c r="A96" s="51" t="str" cm="1">
        <f t="array" ref="A96">INDEX('Sprint Calendar'!$A:$A, MATCH(1, ('Project Planning (2)'!I19 &gt;= 'Sprint Calendar'!$B:$B) * ('Project Planning (2)'!H19 &lt;= 'Sprint Calendar'!$C:$C), 0))</f>
        <v>Sprint 5</v>
      </c>
      <c r="B96" s="81" t="s">
        <v>44</v>
      </c>
      <c r="C96" s="51" t="s">
        <v>45</v>
      </c>
      <c r="D96" s="51" t="s">
        <v>50</v>
      </c>
      <c r="E96" s="51" t="s">
        <v>54</v>
      </c>
      <c r="F96" s="51" t="s">
        <v>18</v>
      </c>
      <c r="G96" s="52">
        <v>2</v>
      </c>
      <c r="H96" s="53">
        <f>WORKDAY(I95,1)</f>
        <v>45999</v>
      </c>
      <c r="I96" s="53">
        <f t="shared" si="8"/>
        <v>46001</v>
      </c>
      <c r="J96" s="54">
        <f t="shared" si="10"/>
        <v>2</v>
      </c>
      <c r="K96" s="55" t="s">
        <v>22</v>
      </c>
    </row>
    <row r="97" spans="1:11">
      <c r="A97" s="51" t="str" cm="1">
        <f t="array" ref="A97">INDEX('Sprint Calendar'!$A:$A, MATCH(1, ('Project Planning (2)'!I23 &gt;= 'Sprint Calendar'!$B:$B) * ('Project Planning (2)'!H23 &lt;= 'Sprint Calendar'!$C:$C), 0))</f>
        <v>Sprint 7</v>
      </c>
      <c r="B97" s="81" t="s">
        <v>44</v>
      </c>
      <c r="C97" s="51" t="s">
        <v>58</v>
      </c>
      <c r="D97" s="51" t="s">
        <v>50</v>
      </c>
      <c r="E97" s="51" t="s">
        <v>61</v>
      </c>
      <c r="F97" s="51" t="s">
        <v>18</v>
      </c>
      <c r="G97" s="52">
        <v>4</v>
      </c>
      <c r="H97" s="53">
        <f>WORKDAY(I94,1)</f>
        <v>45989</v>
      </c>
      <c r="I97" s="53">
        <f t="shared" si="8"/>
        <v>45995</v>
      </c>
      <c r="J97" s="54">
        <f t="shared" si="10"/>
        <v>4</v>
      </c>
      <c r="K97" s="55" t="s">
        <v>22</v>
      </c>
    </row>
    <row r="98" spans="1:11">
      <c r="A98" s="51" t="str" cm="1">
        <f t="array" ref="A98">INDEX('Sprint Calendar'!$A:$A, MATCH(1, ('Project Planning (2)'!I24 &gt;= 'Sprint Calendar'!$B:$B) * ('Project Planning (2)'!H24 &lt;= 'Sprint Calendar'!$C:$C), 0))</f>
        <v>Sprint 7</v>
      </c>
      <c r="B98" s="81" t="s">
        <v>64</v>
      </c>
      <c r="C98" s="51" t="s">
        <v>58</v>
      </c>
      <c r="D98" s="51" t="s">
        <v>50</v>
      </c>
      <c r="E98" s="51" t="s">
        <v>65</v>
      </c>
      <c r="F98" s="51" t="s">
        <v>18</v>
      </c>
      <c r="G98" s="52">
        <v>4</v>
      </c>
      <c r="H98" s="53">
        <f>WORKDAY(I97,1)</f>
        <v>45996</v>
      </c>
      <c r="I98" s="53">
        <f t="shared" si="8"/>
        <v>46002</v>
      </c>
      <c r="J98" s="54">
        <f t="shared" si="10"/>
        <v>4</v>
      </c>
      <c r="K98" s="55" t="s">
        <v>22</v>
      </c>
    </row>
    <row r="99" spans="1:11">
      <c r="A99" s="51" t="str" cm="1">
        <f t="array" ref="A99">INDEX('Sprint Calendar'!$A:$A, MATCH(1, ('Project Planning (2)'!I28 &gt;= 'Sprint Calendar'!$B:$B) * ('Project Planning (2)'!H28 &lt;= 'Sprint Calendar'!$C:$C), 0))</f>
        <v>Sprint 8</v>
      </c>
      <c r="B99" s="81" t="s">
        <v>44</v>
      </c>
      <c r="C99" s="51" t="s">
        <v>67</v>
      </c>
      <c r="D99" s="51" t="s">
        <v>50</v>
      </c>
      <c r="E99" s="51" t="s">
        <v>71</v>
      </c>
      <c r="F99" s="51" t="s">
        <v>18</v>
      </c>
      <c r="G99" s="52">
        <v>4</v>
      </c>
      <c r="H99" s="53">
        <f>WORKDAY(I96,1)</f>
        <v>46002</v>
      </c>
      <c r="I99" s="53">
        <f t="shared" si="8"/>
        <v>46008</v>
      </c>
      <c r="J99" s="54">
        <f t="shared" si="10"/>
        <v>4</v>
      </c>
      <c r="K99" s="55" t="s">
        <v>22</v>
      </c>
    </row>
    <row r="100" spans="1:11">
      <c r="A100" s="51" t="str" cm="1">
        <f t="array" ref="A100">INDEX('Sprint Calendar'!$A:$A, MATCH(1, ('Project Planning (2)'!I29 &gt;= 'Sprint Calendar'!$B:$B) * ('Project Planning (2)'!H29 &lt;= 'Sprint Calendar'!$C:$C), 0))</f>
        <v>Sprint 9</v>
      </c>
      <c r="B100" s="81" t="s">
        <v>44</v>
      </c>
      <c r="C100" s="51" t="s">
        <v>67</v>
      </c>
      <c r="D100" s="51" t="s">
        <v>50</v>
      </c>
      <c r="E100" s="51" t="s">
        <v>72</v>
      </c>
      <c r="F100" s="51" t="s">
        <v>18</v>
      </c>
      <c r="G100" s="52">
        <v>4</v>
      </c>
      <c r="H100" s="53">
        <f>WORKDAY(I99,1)</f>
        <v>46009</v>
      </c>
      <c r="I100" s="53">
        <f t="shared" si="8"/>
        <v>46015</v>
      </c>
      <c r="J100" s="54">
        <f t="shared" si="10"/>
        <v>4</v>
      </c>
      <c r="K100" s="55" t="s">
        <v>22</v>
      </c>
    </row>
    <row r="101" spans="1:11">
      <c r="A101" s="51" t="str" cm="1">
        <f t="array" ref="A101">INDEX('Sprint Calendar'!$A:$A, MATCH(1, ('Project Planning (2)'!I33 &gt;= 'Sprint Calendar'!$B:$B) * ('Project Planning (2)'!H33 &lt;= 'Sprint Calendar'!$C:$C), 0))</f>
        <v>Sprint 10</v>
      </c>
      <c r="B101" s="81" t="s">
        <v>44</v>
      </c>
      <c r="C101" s="51" t="s">
        <v>75</v>
      </c>
      <c r="D101" s="51" t="s">
        <v>50</v>
      </c>
      <c r="E101" s="51" t="s">
        <v>78</v>
      </c>
      <c r="F101" s="51" t="s">
        <v>18</v>
      </c>
      <c r="G101" s="52">
        <v>4</v>
      </c>
      <c r="H101" s="53">
        <f>WORKDAY(I98,1)</f>
        <v>46003</v>
      </c>
      <c r="I101" s="53">
        <f t="shared" si="8"/>
        <v>46009</v>
      </c>
      <c r="J101" s="54">
        <f t="shared" si="10"/>
        <v>4</v>
      </c>
      <c r="K101" s="55" t="s">
        <v>22</v>
      </c>
    </row>
    <row r="102" spans="1:11">
      <c r="A102" s="51" t="str" cm="1">
        <f t="array" ref="A102">INDEX('Sprint Calendar'!$A:$A, MATCH(1, ('Project Planning (2)'!I34 &gt;= 'Sprint Calendar'!$B:$B) * ('Project Planning (2)'!H34 &lt;= 'Sprint Calendar'!$C:$C), 0))</f>
        <v>Sprint 10</v>
      </c>
      <c r="B102" s="81" t="s">
        <v>44</v>
      </c>
      <c r="C102" s="51" t="s">
        <v>75</v>
      </c>
      <c r="D102" s="51" t="s">
        <v>50</v>
      </c>
      <c r="E102" s="51" t="s">
        <v>79</v>
      </c>
      <c r="F102" s="51" t="s">
        <v>18</v>
      </c>
      <c r="G102" s="52">
        <v>4</v>
      </c>
      <c r="H102" s="53">
        <f t="shared" ref="H102:H143" si="11">WORKDAY(I101,1)</f>
        <v>46010</v>
      </c>
      <c r="I102" s="53">
        <f t="shared" si="8"/>
        <v>46016</v>
      </c>
      <c r="J102" s="54">
        <f t="shared" si="10"/>
        <v>4</v>
      </c>
      <c r="K102" s="55" t="s">
        <v>22</v>
      </c>
    </row>
    <row r="103" spans="1:11">
      <c r="A103" s="51" t="str" cm="1">
        <f t="array" ref="A103">INDEX('Sprint Calendar'!$A:$A, MATCH(1, ('Project Planning (2)'!I54 &gt;= 'Sprint Calendar'!$B:$B) * ('Project Planning (2)'!H54 &lt;= 'Sprint Calendar'!$C:$C), 0))</f>
        <v>Sprint 14</v>
      </c>
      <c r="B103" s="81" t="s">
        <v>84</v>
      </c>
      <c r="C103" s="77" t="s">
        <v>102</v>
      </c>
      <c r="D103" s="51" t="s">
        <v>50</v>
      </c>
      <c r="E103" s="51" t="s">
        <v>105</v>
      </c>
      <c r="F103" s="51" t="s">
        <v>18</v>
      </c>
      <c r="G103" s="52">
        <v>5</v>
      </c>
      <c r="H103" s="53">
        <f t="shared" si="11"/>
        <v>46017</v>
      </c>
      <c r="I103" s="53">
        <f t="shared" si="8"/>
        <v>46024</v>
      </c>
      <c r="J103" s="54">
        <f t="shared" si="10"/>
        <v>5</v>
      </c>
      <c r="K103" s="55" t="s">
        <v>22</v>
      </c>
    </row>
    <row r="104" spans="1:11">
      <c r="A104" s="51" t="str" cm="1">
        <f t="array" ref="A104">INDEX('Sprint Calendar'!$A:$A, MATCH(1, ('Project Planning (2)'!I55 &gt;= 'Sprint Calendar'!$B:$B) * ('Project Planning (2)'!H55 &lt;= 'Sprint Calendar'!$C:$C), 0))</f>
        <v>Sprint 14</v>
      </c>
      <c r="B104" s="81" t="s">
        <v>84</v>
      </c>
      <c r="C104" s="77" t="s">
        <v>102</v>
      </c>
      <c r="D104" s="51" t="s">
        <v>50</v>
      </c>
      <c r="E104" s="51" t="s">
        <v>106</v>
      </c>
      <c r="F104" s="51" t="s">
        <v>18</v>
      </c>
      <c r="G104" s="52">
        <v>5</v>
      </c>
      <c r="H104" s="53">
        <f t="shared" si="11"/>
        <v>46027</v>
      </c>
      <c r="I104" s="53">
        <f t="shared" si="8"/>
        <v>46034</v>
      </c>
      <c r="J104" s="54">
        <f t="shared" si="10"/>
        <v>5</v>
      </c>
      <c r="K104" s="55" t="s">
        <v>22</v>
      </c>
    </row>
    <row r="105" spans="1:11">
      <c r="A105" s="51" t="str" cm="1">
        <f t="array" ref="A105">INDEX('Sprint Calendar'!$A:$A, MATCH(1, ('Project Planning (2)'!I59 &gt;= 'Sprint Calendar'!$B:$B) * ('Project Planning (2)'!H59 &lt;= 'Sprint Calendar'!$C:$C), 0))</f>
        <v>Sprint 15</v>
      </c>
      <c r="B105" s="81" t="s">
        <v>84</v>
      </c>
      <c r="C105" s="77" t="s">
        <v>109</v>
      </c>
      <c r="D105" s="51" t="s">
        <v>50</v>
      </c>
      <c r="E105" s="51" t="s">
        <v>112</v>
      </c>
      <c r="F105" s="51" t="s">
        <v>18</v>
      </c>
      <c r="G105" s="52">
        <v>5</v>
      </c>
      <c r="H105" s="53">
        <f t="shared" si="11"/>
        <v>46035</v>
      </c>
      <c r="I105" s="53">
        <f t="shared" si="8"/>
        <v>46042</v>
      </c>
      <c r="J105" s="54">
        <f t="shared" si="10"/>
        <v>5</v>
      </c>
      <c r="K105" s="55" t="s">
        <v>22</v>
      </c>
    </row>
    <row r="106" spans="1:11">
      <c r="A106" s="51" t="str" cm="1">
        <f t="array" ref="A106">INDEX('Sprint Calendar'!$A:$A, MATCH(1, ('Project Planning (2)'!I60 &gt;= 'Sprint Calendar'!$B:$B) * ('Project Planning (2)'!H60 &lt;= 'Sprint Calendar'!$C:$C), 0))</f>
        <v>Sprint 15</v>
      </c>
      <c r="B106" s="81" t="s">
        <v>84</v>
      </c>
      <c r="C106" s="77" t="s">
        <v>109</v>
      </c>
      <c r="D106" s="51" t="s">
        <v>50</v>
      </c>
      <c r="E106" s="51" t="s">
        <v>114</v>
      </c>
      <c r="F106" s="51" t="s">
        <v>18</v>
      </c>
      <c r="G106" s="52">
        <v>5</v>
      </c>
      <c r="H106" s="53">
        <f t="shared" si="11"/>
        <v>46043</v>
      </c>
      <c r="I106" s="53">
        <f t="shared" si="8"/>
        <v>46050</v>
      </c>
      <c r="J106" s="54">
        <f t="shared" si="10"/>
        <v>5</v>
      </c>
      <c r="K106" s="55" t="s">
        <v>22</v>
      </c>
    </row>
    <row r="107" spans="1:11">
      <c r="A107" s="51" t="str" cm="1">
        <f t="array" ref="A107">INDEX('Sprint Calendar'!$A:$A, MATCH(1, ('Project Planning (2)'!I64 &gt;= 'Sprint Calendar'!$B:$B) * ('Project Planning (2)'!H64 &lt;= 'Sprint Calendar'!$C:$C), 0))</f>
        <v>Sprint 17</v>
      </c>
      <c r="B107" s="81" t="s">
        <v>84</v>
      </c>
      <c r="C107" s="77" t="s">
        <v>117</v>
      </c>
      <c r="D107" s="51" t="s">
        <v>50</v>
      </c>
      <c r="E107" s="51" t="s">
        <v>120</v>
      </c>
      <c r="F107" s="51" t="s">
        <v>18</v>
      </c>
      <c r="G107" s="52">
        <v>2</v>
      </c>
      <c r="H107" s="53">
        <f t="shared" si="11"/>
        <v>46051</v>
      </c>
      <c r="I107" s="53">
        <f t="shared" ref="I107:I138" si="12">WORKDAY(H107,J107)</f>
        <v>46055</v>
      </c>
      <c r="J107" s="54">
        <f t="shared" si="10"/>
        <v>2</v>
      </c>
      <c r="K107" s="55" t="s">
        <v>22</v>
      </c>
    </row>
    <row r="108" spans="1:11">
      <c r="A108" s="51" t="str" cm="1">
        <f t="array" ref="A108">INDEX('Sprint Calendar'!$A:$A, MATCH(1, ('Project Planning (2)'!I65 &gt;= 'Sprint Calendar'!$B:$B) * ('Project Planning (2)'!H65 &lt;= 'Sprint Calendar'!$C:$C), 0))</f>
        <v>Sprint 17</v>
      </c>
      <c r="B108" s="81" t="s">
        <v>84</v>
      </c>
      <c r="C108" s="77" t="s">
        <v>117</v>
      </c>
      <c r="D108" s="51" t="s">
        <v>50</v>
      </c>
      <c r="E108" s="51" t="s">
        <v>122</v>
      </c>
      <c r="F108" s="51" t="s">
        <v>18</v>
      </c>
      <c r="G108" s="52">
        <v>2</v>
      </c>
      <c r="H108" s="53">
        <f t="shared" si="11"/>
        <v>46056</v>
      </c>
      <c r="I108" s="53">
        <f t="shared" si="12"/>
        <v>46058</v>
      </c>
      <c r="J108" s="54">
        <f t="shared" si="10"/>
        <v>2</v>
      </c>
      <c r="K108" s="55" t="s">
        <v>22</v>
      </c>
    </row>
    <row r="109" spans="1:11">
      <c r="A109" s="51" t="str" cm="1">
        <f t="array" ref="A109">INDEX('Sprint Calendar'!$A:$A, MATCH(1, ('Project Planning (2)'!I69 &gt;= 'Sprint Calendar'!$B:$B) * ('Project Planning (2)'!H69 &lt;= 'Sprint Calendar'!$C:$C), 0))</f>
        <v>Sprint 18</v>
      </c>
      <c r="B109" s="81" t="s">
        <v>84</v>
      </c>
      <c r="C109" s="77" t="s">
        <v>124</v>
      </c>
      <c r="D109" s="51" t="s">
        <v>50</v>
      </c>
      <c r="E109" s="51" t="s">
        <v>120</v>
      </c>
      <c r="F109" s="51" t="s">
        <v>18</v>
      </c>
      <c r="G109" s="52">
        <v>2</v>
      </c>
      <c r="H109" s="53">
        <f t="shared" si="11"/>
        <v>46059</v>
      </c>
      <c r="I109" s="53">
        <f t="shared" si="12"/>
        <v>46063</v>
      </c>
      <c r="J109" s="54">
        <f t="shared" si="10"/>
        <v>2</v>
      </c>
      <c r="K109" s="55" t="s">
        <v>22</v>
      </c>
    </row>
    <row r="110" spans="1:11">
      <c r="A110" s="51" t="str" cm="1">
        <f t="array" ref="A110">INDEX('Sprint Calendar'!$A:$A, MATCH(1, ('Project Planning (2)'!I70 &gt;= 'Sprint Calendar'!$B:$B) * ('Project Planning (2)'!H70 &lt;= 'Sprint Calendar'!$C:$C), 0))</f>
        <v>Sprint 18</v>
      </c>
      <c r="B110" s="81" t="s">
        <v>84</v>
      </c>
      <c r="C110" s="77" t="s">
        <v>124</v>
      </c>
      <c r="D110" s="51" t="s">
        <v>50</v>
      </c>
      <c r="E110" s="51" t="s">
        <v>122</v>
      </c>
      <c r="F110" s="51" t="s">
        <v>18</v>
      </c>
      <c r="G110" s="52">
        <v>2</v>
      </c>
      <c r="H110" s="53">
        <f t="shared" si="11"/>
        <v>46064</v>
      </c>
      <c r="I110" s="53">
        <f t="shared" si="12"/>
        <v>46066</v>
      </c>
      <c r="J110" s="54">
        <f t="shared" si="10"/>
        <v>2</v>
      </c>
      <c r="K110" s="55" t="s">
        <v>22</v>
      </c>
    </row>
    <row r="111" spans="1:11">
      <c r="A111" s="51" t="str" cm="1">
        <f t="array" ref="A111">INDEX('Sprint Calendar'!$A:$A, MATCH(1, ('Project Planning (2)'!I109 &gt;= 'Sprint Calendar'!$B:$B) * ('Project Planning (2)'!H109 &lt;= 'Sprint Calendar'!$C:$C), 0))</f>
        <v>Sprint 6</v>
      </c>
      <c r="B111" s="81" t="s">
        <v>84</v>
      </c>
      <c r="C111" s="51" t="s">
        <v>175</v>
      </c>
      <c r="D111" s="51" t="s">
        <v>50</v>
      </c>
      <c r="E111" s="51" t="s">
        <v>178</v>
      </c>
      <c r="F111" s="51" t="s">
        <v>18</v>
      </c>
      <c r="G111" s="52">
        <v>3</v>
      </c>
      <c r="H111" s="53">
        <f t="shared" si="11"/>
        <v>46069</v>
      </c>
      <c r="I111" s="53">
        <f t="shared" si="12"/>
        <v>46072</v>
      </c>
      <c r="J111" s="54">
        <f t="shared" si="10"/>
        <v>3</v>
      </c>
      <c r="K111" s="102" t="s">
        <v>22</v>
      </c>
    </row>
    <row r="112" spans="1:11">
      <c r="A112" s="51" t="str" cm="1">
        <f t="array" ref="A112">INDEX('Sprint Calendar'!$A:$A, MATCH(1, ('Project Planning (2)'!I110 &gt;= 'Sprint Calendar'!$B:$B) * ('Project Planning (2)'!H110 &lt;= 'Sprint Calendar'!$C:$C), 0))</f>
        <v>Sprint 6</v>
      </c>
      <c r="B112" s="81" t="s">
        <v>84</v>
      </c>
      <c r="C112" s="51" t="s">
        <v>175</v>
      </c>
      <c r="D112" s="51" t="s">
        <v>50</v>
      </c>
      <c r="E112" s="51" t="s">
        <v>179</v>
      </c>
      <c r="F112" s="51" t="s">
        <v>18</v>
      </c>
      <c r="G112" s="52">
        <v>5</v>
      </c>
      <c r="H112" s="53">
        <f t="shared" si="11"/>
        <v>46073</v>
      </c>
      <c r="I112" s="53">
        <f t="shared" si="12"/>
        <v>46080</v>
      </c>
      <c r="J112" s="54">
        <f t="shared" si="10"/>
        <v>5</v>
      </c>
      <c r="K112" s="102" t="s">
        <v>22</v>
      </c>
    </row>
    <row r="113" spans="1:11">
      <c r="A113" s="51" t="str" cm="1">
        <f t="array" ref="A113">INDEX('Sprint Calendar'!$A:$A, MATCH(1, ('Project Planning (2)'!I114 &gt;= 'Sprint Calendar'!$B:$B) * ('Project Planning (2)'!H114 &lt;= 'Sprint Calendar'!$C:$C), 0))</f>
        <v>Sprint 8</v>
      </c>
      <c r="B113" s="81" t="s">
        <v>84</v>
      </c>
      <c r="C113" s="51" t="s">
        <v>181</v>
      </c>
      <c r="D113" s="51" t="s">
        <v>50</v>
      </c>
      <c r="E113" s="51" t="s">
        <v>184</v>
      </c>
      <c r="F113" s="51" t="s">
        <v>18</v>
      </c>
      <c r="G113" s="52">
        <v>1.5</v>
      </c>
      <c r="H113" s="53">
        <f t="shared" si="11"/>
        <v>46083</v>
      </c>
      <c r="I113" s="53">
        <f t="shared" si="12"/>
        <v>46084</v>
      </c>
      <c r="J113" s="54">
        <f t="shared" si="10"/>
        <v>1.5</v>
      </c>
      <c r="K113" s="102" t="s">
        <v>22</v>
      </c>
    </row>
    <row r="114" spans="1:11">
      <c r="A114" s="51" t="str" cm="1">
        <f t="array" ref="A114">INDEX('Sprint Calendar'!$A:$A, MATCH(1, ('Project Planning (2)'!I115 &gt;= 'Sprint Calendar'!$B:$B) * ('Project Planning (2)'!H115 &lt;= 'Sprint Calendar'!$C:$C), 0))</f>
        <v>Sprint 8</v>
      </c>
      <c r="B114" s="81" t="s">
        <v>84</v>
      </c>
      <c r="C114" s="51" t="s">
        <v>181</v>
      </c>
      <c r="D114" s="51" t="s">
        <v>50</v>
      </c>
      <c r="E114" s="51" t="s">
        <v>185</v>
      </c>
      <c r="F114" s="51" t="s">
        <v>18</v>
      </c>
      <c r="G114" s="52">
        <v>2.5</v>
      </c>
      <c r="H114" s="53">
        <f t="shared" si="11"/>
        <v>46085</v>
      </c>
      <c r="I114" s="53">
        <f t="shared" si="12"/>
        <v>46087</v>
      </c>
      <c r="J114" s="54">
        <f t="shared" si="10"/>
        <v>2.5</v>
      </c>
      <c r="K114" s="102" t="s">
        <v>22</v>
      </c>
    </row>
    <row r="115" spans="1:11">
      <c r="A115" s="51" t="str" cm="1">
        <f t="array" ref="A115">INDEX('Sprint Calendar'!$A:$A, MATCH(1, ('Project Planning (2)'!I119 &gt;= 'Sprint Calendar'!$B:$B) * ('Project Planning (2)'!H119 &lt;= 'Sprint Calendar'!$C:$C), 0))</f>
        <v>Sprint 9</v>
      </c>
      <c r="B115" s="81" t="s">
        <v>84</v>
      </c>
      <c r="C115" s="51" t="s">
        <v>187</v>
      </c>
      <c r="D115" s="51" t="s">
        <v>50</v>
      </c>
      <c r="E115" s="51" t="s">
        <v>190</v>
      </c>
      <c r="F115" s="51" t="s">
        <v>18</v>
      </c>
      <c r="G115" s="52">
        <v>1.5</v>
      </c>
      <c r="H115" s="53">
        <f t="shared" si="11"/>
        <v>46090</v>
      </c>
      <c r="I115" s="53">
        <f t="shared" si="12"/>
        <v>46091</v>
      </c>
      <c r="J115" s="54">
        <f t="shared" si="10"/>
        <v>1.5</v>
      </c>
      <c r="K115" s="102" t="s">
        <v>22</v>
      </c>
    </row>
    <row r="116" spans="1:11">
      <c r="A116" s="51" t="str" cm="1">
        <f t="array" ref="A116">INDEX('Sprint Calendar'!$A:$A, MATCH(1, ('Project Planning (2)'!I120 &gt;= 'Sprint Calendar'!$B:$B) * ('Project Planning (2)'!H120 &lt;= 'Sprint Calendar'!$C:$C), 0))</f>
        <v>Sprint 9</v>
      </c>
      <c r="B116" s="81" t="s">
        <v>84</v>
      </c>
      <c r="C116" s="51" t="s">
        <v>187</v>
      </c>
      <c r="D116" s="51" t="s">
        <v>50</v>
      </c>
      <c r="E116" s="51" t="s">
        <v>191</v>
      </c>
      <c r="F116" s="51" t="s">
        <v>18</v>
      </c>
      <c r="G116" s="52">
        <v>1.5</v>
      </c>
      <c r="H116" s="53">
        <f t="shared" si="11"/>
        <v>46092</v>
      </c>
      <c r="I116" s="53">
        <f t="shared" si="12"/>
        <v>46093</v>
      </c>
      <c r="J116" s="54">
        <f t="shared" si="10"/>
        <v>1.5</v>
      </c>
      <c r="K116" s="102" t="s">
        <v>22</v>
      </c>
    </row>
    <row r="117" spans="1:11">
      <c r="A117" s="51" t="str" cm="1">
        <f t="array" ref="A117">INDEX('Sprint Calendar'!$A:$A, MATCH(1, ('Project Planning (2)'!I124 &gt;= 'Sprint Calendar'!$B:$B) * ('Project Planning (2)'!H124 &lt;= 'Sprint Calendar'!$C:$C), 0))</f>
        <v>Sprint 10</v>
      </c>
      <c r="B117" s="81" t="s">
        <v>84</v>
      </c>
      <c r="C117" s="51" t="s">
        <v>193</v>
      </c>
      <c r="D117" s="51" t="s">
        <v>50</v>
      </c>
      <c r="E117" s="51" t="s">
        <v>196</v>
      </c>
      <c r="F117" s="51" t="s">
        <v>18</v>
      </c>
      <c r="G117" s="52">
        <v>1</v>
      </c>
      <c r="H117" s="53">
        <f t="shared" si="11"/>
        <v>46094</v>
      </c>
      <c r="I117" s="53">
        <f t="shared" si="12"/>
        <v>46097</v>
      </c>
      <c r="J117" s="54">
        <f t="shared" si="10"/>
        <v>1</v>
      </c>
      <c r="K117" s="102" t="s">
        <v>22</v>
      </c>
    </row>
    <row r="118" spans="1:11">
      <c r="A118" s="51" t="str" cm="1">
        <f t="array" ref="A118">INDEX('Sprint Calendar'!$A:$A, MATCH(1, ('Project Planning (2)'!I125 &gt;= 'Sprint Calendar'!$B:$B) * ('Project Planning (2)'!H125 &lt;= 'Sprint Calendar'!$C:$C), 0))</f>
        <v>Sprint 11</v>
      </c>
      <c r="B118" s="81" t="s">
        <v>84</v>
      </c>
      <c r="C118" s="51" t="s">
        <v>193</v>
      </c>
      <c r="D118" s="51" t="s">
        <v>50</v>
      </c>
      <c r="E118" s="51" t="s">
        <v>197</v>
      </c>
      <c r="F118" s="51" t="s">
        <v>18</v>
      </c>
      <c r="G118" s="52">
        <v>2</v>
      </c>
      <c r="H118" s="53">
        <f t="shared" si="11"/>
        <v>46098</v>
      </c>
      <c r="I118" s="53">
        <f t="shared" si="12"/>
        <v>46100</v>
      </c>
      <c r="J118" s="54">
        <f t="shared" si="10"/>
        <v>2</v>
      </c>
      <c r="K118" s="102" t="s">
        <v>22</v>
      </c>
    </row>
    <row r="119" spans="1:11">
      <c r="A119" s="51" t="e" cm="1">
        <f t="array" ref="A119">INDEX('Sprint Calendar'!$A:$A, MATCH(1, ('Project Planning (2)'!I129 &gt;= 'Sprint Calendar'!$B:$B) * ('Project Planning (2)'!H129 &lt;= 'Sprint Calendar'!$C:$C), 0))</f>
        <v>#N/A</v>
      </c>
      <c r="B119" s="81" t="s">
        <v>84</v>
      </c>
      <c r="C119" s="77" t="s">
        <v>199</v>
      </c>
      <c r="D119" s="51" t="s">
        <v>50</v>
      </c>
      <c r="E119" s="51" t="s">
        <v>202</v>
      </c>
      <c r="F119" s="51" t="s">
        <v>18</v>
      </c>
      <c r="G119" s="52">
        <v>2</v>
      </c>
      <c r="H119" s="53">
        <f t="shared" si="11"/>
        <v>46101</v>
      </c>
      <c r="I119" s="53">
        <f t="shared" si="12"/>
        <v>46105</v>
      </c>
      <c r="J119" s="54">
        <f t="shared" si="10"/>
        <v>2</v>
      </c>
      <c r="K119" s="102" t="s">
        <v>22</v>
      </c>
    </row>
    <row r="120" spans="1:11">
      <c r="A120" s="51" t="e" cm="1">
        <f t="array" ref="A120">INDEX('Sprint Calendar'!$A:$A, MATCH(1, ('Project Planning (2)'!I130 &gt;= 'Sprint Calendar'!$B:$B) * ('Project Planning (2)'!H130 &lt;= 'Sprint Calendar'!$C:$C), 0))</f>
        <v>#N/A</v>
      </c>
      <c r="B120" s="81" t="s">
        <v>84</v>
      </c>
      <c r="C120" s="77" t="s">
        <v>199</v>
      </c>
      <c r="D120" s="51" t="s">
        <v>50</v>
      </c>
      <c r="E120" s="51" t="s">
        <v>203</v>
      </c>
      <c r="F120" s="51" t="s">
        <v>18</v>
      </c>
      <c r="G120" s="52">
        <v>2</v>
      </c>
      <c r="H120" s="53">
        <f t="shared" si="11"/>
        <v>46106</v>
      </c>
      <c r="I120" s="53">
        <f t="shared" si="12"/>
        <v>46108</v>
      </c>
      <c r="J120" s="54">
        <f t="shared" si="10"/>
        <v>2</v>
      </c>
      <c r="K120" s="102" t="s">
        <v>22</v>
      </c>
    </row>
    <row r="121" spans="1:11">
      <c r="A121" s="51" t="e" cm="1">
        <f t="array" ref="A121">INDEX('Sprint Calendar'!$A:$A, MATCH(1, ('Project Planning (2)'!I134 &gt;= 'Sprint Calendar'!$B:$B) * ('Project Planning (2)'!H134 &lt;= 'Sprint Calendar'!$C:$C), 0))</f>
        <v>#N/A</v>
      </c>
      <c r="B121" s="81" t="s">
        <v>84</v>
      </c>
      <c r="C121" s="77" t="s">
        <v>205</v>
      </c>
      <c r="D121" s="51" t="s">
        <v>50</v>
      </c>
      <c r="E121" s="51" t="s">
        <v>209</v>
      </c>
      <c r="F121" s="51" t="s">
        <v>18</v>
      </c>
      <c r="G121" s="52">
        <v>1</v>
      </c>
      <c r="H121" s="53">
        <f t="shared" si="11"/>
        <v>46111</v>
      </c>
      <c r="I121" s="53">
        <f t="shared" si="12"/>
        <v>46112</v>
      </c>
      <c r="J121" s="54">
        <f t="shared" si="10"/>
        <v>1</v>
      </c>
      <c r="K121" s="102" t="s">
        <v>22</v>
      </c>
    </row>
    <row r="122" spans="1:11">
      <c r="A122" s="51" t="e" cm="1">
        <f t="array" ref="A122">INDEX('Sprint Calendar'!$A:$A, MATCH(1, ('Project Planning (2)'!I135 &gt;= 'Sprint Calendar'!$B:$B) * ('Project Planning (2)'!H135 &lt;= 'Sprint Calendar'!$C:$C), 0))</f>
        <v>#N/A</v>
      </c>
      <c r="B122" s="81" t="s">
        <v>84</v>
      </c>
      <c r="C122" s="77" t="s">
        <v>205</v>
      </c>
      <c r="D122" s="51" t="s">
        <v>50</v>
      </c>
      <c r="E122" s="51" t="s">
        <v>210</v>
      </c>
      <c r="F122" s="51" t="s">
        <v>18</v>
      </c>
      <c r="G122" s="52">
        <v>2</v>
      </c>
      <c r="H122" s="53">
        <f t="shared" si="11"/>
        <v>46113</v>
      </c>
      <c r="I122" s="53">
        <f t="shared" si="12"/>
        <v>46115</v>
      </c>
      <c r="J122" s="54">
        <f t="shared" si="10"/>
        <v>2</v>
      </c>
      <c r="K122" s="102" t="s">
        <v>22</v>
      </c>
    </row>
    <row r="123" spans="1:11">
      <c r="A123" s="51" t="e" cm="1">
        <f t="array" ref="A123">INDEX('Sprint Calendar'!$A:$A, MATCH(1, ('Project Planning (2)'!I139 &gt;= 'Sprint Calendar'!$B:$B) * ('Project Planning (2)'!H139 &lt;= 'Sprint Calendar'!$C:$C), 0))</f>
        <v>#N/A</v>
      </c>
      <c r="B123" s="81" t="s">
        <v>84</v>
      </c>
      <c r="C123" s="77" t="s">
        <v>212</v>
      </c>
      <c r="D123" s="51" t="s">
        <v>50</v>
      </c>
      <c r="E123" s="51" t="s">
        <v>216</v>
      </c>
      <c r="F123" s="51" t="s">
        <v>18</v>
      </c>
      <c r="G123" s="52">
        <v>1</v>
      </c>
      <c r="H123" s="53">
        <f t="shared" si="11"/>
        <v>46118</v>
      </c>
      <c r="I123" s="53">
        <f t="shared" si="12"/>
        <v>46119</v>
      </c>
      <c r="J123" s="54">
        <f t="shared" si="10"/>
        <v>1</v>
      </c>
      <c r="K123" s="102" t="s">
        <v>22</v>
      </c>
    </row>
    <row r="124" spans="1:11">
      <c r="A124" s="51" t="e" cm="1">
        <f t="array" ref="A124">INDEX('Sprint Calendar'!$A:$A, MATCH(1, ('Project Planning (2)'!I140 &gt;= 'Sprint Calendar'!$B:$B) * ('Project Planning (2)'!H140 &lt;= 'Sprint Calendar'!$C:$C), 0))</f>
        <v>#N/A</v>
      </c>
      <c r="B124" s="81" t="s">
        <v>84</v>
      </c>
      <c r="C124" s="77" t="s">
        <v>212</v>
      </c>
      <c r="D124" s="51" t="s">
        <v>50</v>
      </c>
      <c r="E124" s="51" t="s">
        <v>217</v>
      </c>
      <c r="F124" s="51" t="s">
        <v>18</v>
      </c>
      <c r="G124" s="52">
        <v>2</v>
      </c>
      <c r="H124" s="53">
        <f t="shared" si="11"/>
        <v>46120</v>
      </c>
      <c r="I124" s="53">
        <f t="shared" si="12"/>
        <v>46122</v>
      </c>
      <c r="J124" s="54">
        <f t="shared" si="10"/>
        <v>2</v>
      </c>
      <c r="K124" s="102" t="s">
        <v>22</v>
      </c>
    </row>
    <row r="125" spans="1:11">
      <c r="A125" s="51" t="str" cm="1">
        <f t="array" ref="A125">INDEX('Sprint Calendar'!$A:$A, MATCH(1, ('Project Planning (2)'!I178 &gt;= 'Sprint Calendar'!$B:$B) * ('Project Planning (2)'!H178 &lt;= 'Sprint Calendar'!$C:$C), 0))</f>
        <v>Sprint 15</v>
      </c>
      <c r="B125" s="81" t="s">
        <v>84</v>
      </c>
      <c r="C125" s="77" t="s">
        <v>260</v>
      </c>
      <c r="D125" s="51" t="s">
        <v>50</v>
      </c>
      <c r="E125" s="77" t="s">
        <v>264</v>
      </c>
      <c r="F125" s="51" t="s">
        <v>18</v>
      </c>
      <c r="G125" s="52">
        <v>3</v>
      </c>
      <c r="H125" s="53">
        <f t="shared" si="11"/>
        <v>46125</v>
      </c>
      <c r="I125" s="53">
        <f t="shared" si="12"/>
        <v>46128</v>
      </c>
      <c r="J125" s="54">
        <f t="shared" si="10"/>
        <v>3</v>
      </c>
      <c r="K125" s="102" t="s">
        <v>22</v>
      </c>
    </row>
    <row r="126" spans="1:11">
      <c r="A126" s="51" t="str" cm="1">
        <f t="array" ref="A126">INDEX('Sprint Calendar'!$A:$A, MATCH(1, ('Project Planning (2)'!I182 &gt;= 'Sprint Calendar'!$B:$B) * ('Project Planning (2)'!H182 &lt;= 'Sprint Calendar'!$C:$C), 0))</f>
        <v>Sprint 17</v>
      </c>
      <c r="B126" s="81" t="s">
        <v>84</v>
      </c>
      <c r="C126" s="77" t="s">
        <v>266</v>
      </c>
      <c r="D126" s="51" t="s">
        <v>50</v>
      </c>
      <c r="E126" s="77" t="s">
        <v>270</v>
      </c>
      <c r="F126" s="51" t="s">
        <v>18</v>
      </c>
      <c r="G126" s="52">
        <v>3</v>
      </c>
      <c r="H126" s="53">
        <f t="shared" si="11"/>
        <v>46129</v>
      </c>
      <c r="I126" s="53">
        <f t="shared" si="12"/>
        <v>46134</v>
      </c>
      <c r="J126" s="54">
        <f t="shared" si="10"/>
        <v>3</v>
      </c>
      <c r="K126" s="102" t="s">
        <v>22</v>
      </c>
    </row>
    <row r="127" spans="1:11">
      <c r="A127" s="51" t="str" cm="1">
        <f t="array" ref="A127">INDEX('Sprint Calendar'!$A:$A, MATCH(1, ('Project Planning (2)'!I20 &gt;= 'Sprint Calendar'!$B:$B) * ('Project Planning (2)'!H20 &lt;= 'Sprint Calendar'!$C:$C), 0))</f>
        <v>Sprint 6</v>
      </c>
      <c r="B127" s="81" t="s">
        <v>44</v>
      </c>
      <c r="C127" s="51" t="s">
        <v>45</v>
      </c>
      <c r="D127" s="51" t="s">
        <v>278</v>
      </c>
      <c r="E127" s="51" t="s">
        <v>56</v>
      </c>
      <c r="F127" s="51" t="s">
        <v>278</v>
      </c>
      <c r="G127" s="52">
        <v>3</v>
      </c>
      <c r="H127" s="53">
        <f t="shared" si="11"/>
        <v>46135</v>
      </c>
      <c r="I127" s="53" t="e">
        <f t="shared" si="12"/>
        <v>#DIV/0!</v>
      </c>
      <c r="J127" s="54" t="e">
        <f>G127/N112</f>
        <v>#DIV/0!</v>
      </c>
      <c r="K127" s="55" t="s">
        <v>22</v>
      </c>
    </row>
    <row r="128" spans="1:11">
      <c r="A128" s="51" t="str" cm="1">
        <f t="array" ref="A128">INDEX('Sprint Calendar'!$A:$A, MATCH(1, ('Project Planning (2)'!I25 &gt;= 'Sprint Calendar'!$B:$B) * ('Project Planning (2)'!H25 &lt;= 'Sprint Calendar'!$C:$C), 0))</f>
        <v>Sprint 7</v>
      </c>
      <c r="B128" s="81" t="s">
        <v>44</v>
      </c>
      <c r="C128" s="51" t="s">
        <v>58</v>
      </c>
      <c r="D128" s="51" t="s">
        <v>278</v>
      </c>
      <c r="E128" s="51" t="s">
        <v>66</v>
      </c>
      <c r="F128" s="51" t="s">
        <v>278</v>
      </c>
      <c r="G128" s="52">
        <v>3</v>
      </c>
      <c r="H128" s="53" t="e">
        <f t="shared" si="11"/>
        <v>#DIV/0!</v>
      </c>
      <c r="I128" s="53" t="e">
        <f t="shared" si="12"/>
        <v>#DIV/0!</v>
      </c>
      <c r="J128" s="54">
        <f t="shared" ref="J128:J143" si="13">G128/$N$5</f>
        <v>3</v>
      </c>
      <c r="K128" s="55" t="s">
        <v>22</v>
      </c>
    </row>
    <row r="129" spans="1:11">
      <c r="A129" s="51" t="str" cm="1">
        <f t="array" ref="A129">INDEX('Sprint Calendar'!$A:$A, MATCH(1, ('Project Planning (2)'!I30 &gt;= 'Sprint Calendar'!$B:$B) * ('Project Planning (2)'!H30 &lt;= 'Sprint Calendar'!$C:$C), 0))</f>
        <v>Sprint 9</v>
      </c>
      <c r="B129" s="81" t="s">
        <v>44</v>
      </c>
      <c r="C129" s="51" t="s">
        <v>67</v>
      </c>
      <c r="D129" s="51" t="s">
        <v>278</v>
      </c>
      <c r="E129" s="51" t="s">
        <v>74</v>
      </c>
      <c r="F129" s="51" t="s">
        <v>278</v>
      </c>
      <c r="G129" s="52">
        <v>2</v>
      </c>
      <c r="H129" s="53" t="e">
        <f t="shared" si="11"/>
        <v>#DIV/0!</v>
      </c>
      <c r="I129" s="53" t="e">
        <f t="shared" si="12"/>
        <v>#DIV/0!</v>
      </c>
      <c r="J129" s="54">
        <f t="shared" si="13"/>
        <v>2</v>
      </c>
      <c r="K129" s="55" t="s">
        <v>22</v>
      </c>
    </row>
    <row r="130" spans="1:11">
      <c r="A130" s="82" t="str" cm="1">
        <f t="array" ref="A130">INDEX('Sprint Calendar'!$A:$A, MATCH(1, ('Project Planning (2)'!I35 &gt;= 'Sprint Calendar'!$B:$B) * ('Project Planning (2)'!H35 &lt;= 'Sprint Calendar'!$C:$C), 0))</f>
        <v>Sprint 10</v>
      </c>
      <c r="B130" s="83" t="s">
        <v>44</v>
      </c>
      <c r="C130" s="82" t="s">
        <v>75</v>
      </c>
      <c r="D130" s="82" t="s">
        <v>278</v>
      </c>
      <c r="E130" s="82" t="s">
        <v>81</v>
      </c>
      <c r="F130" s="51" t="s">
        <v>278</v>
      </c>
      <c r="G130" s="84">
        <v>2</v>
      </c>
      <c r="H130" s="85" t="e">
        <f t="shared" si="11"/>
        <v>#DIV/0!</v>
      </c>
      <c r="I130" s="85" t="e">
        <f t="shared" si="12"/>
        <v>#DIV/0!</v>
      </c>
      <c r="J130" s="86">
        <f t="shared" si="13"/>
        <v>2</v>
      </c>
      <c r="K130" s="87" t="s">
        <v>22</v>
      </c>
    </row>
    <row r="131" spans="1:11">
      <c r="A131" s="51" t="str" cm="1">
        <f t="array" ref="A131">INDEX('Sprint Calendar'!$A:$A, MATCH(1, ('Project Planning (2)'!I56 &gt;= 'Sprint Calendar'!$B:$B) * ('Project Planning (2)'!H56 &lt;= 'Sprint Calendar'!$C:$C), 0))</f>
        <v>Sprint 15</v>
      </c>
      <c r="B131" s="81" t="s">
        <v>84</v>
      </c>
      <c r="C131" s="77" t="s">
        <v>102</v>
      </c>
      <c r="D131" s="51" t="s">
        <v>278</v>
      </c>
      <c r="E131" s="51" t="s">
        <v>108</v>
      </c>
      <c r="F131" s="51" t="s">
        <v>278</v>
      </c>
      <c r="G131" s="52">
        <v>2</v>
      </c>
      <c r="H131" s="53" t="e">
        <f t="shared" si="11"/>
        <v>#DIV/0!</v>
      </c>
      <c r="I131" s="53" t="e">
        <f t="shared" si="12"/>
        <v>#DIV/0!</v>
      </c>
      <c r="J131" s="54">
        <f t="shared" si="13"/>
        <v>2</v>
      </c>
      <c r="K131" s="55" t="s">
        <v>22</v>
      </c>
    </row>
    <row r="132" spans="1:11">
      <c r="A132" s="51" t="str" cm="1">
        <f t="array" ref="A132">INDEX('Sprint Calendar'!$A:$A, MATCH(1, ('Project Planning (2)'!I61 &gt;= 'Sprint Calendar'!$B:$B) * ('Project Planning (2)'!H61 &lt;= 'Sprint Calendar'!$C:$C), 0))</f>
        <v>Sprint 16</v>
      </c>
      <c r="B132" s="81" t="s">
        <v>84</v>
      </c>
      <c r="C132" s="77" t="s">
        <v>109</v>
      </c>
      <c r="D132" s="51" t="s">
        <v>278</v>
      </c>
      <c r="E132" s="51" t="s">
        <v>116</v>
      </c>
      <c r="F132" s="51" t="s">
        <v>278</v>
      </c>
      <c r="G132" s="52">
        <v>2</v>
      </c>
      <c r="H132" s="53" t="e">
        <f t="shared" si="11"/>
        <v>#DIV/0!</v>
      </c>
      <c r="I132" s="53" t="e">
        <f t="shared" si="12"/>
        <v>#DIV/0!</v>
      </c>
      <c r="J132" s="54">
        <f t="shared" si="13"/>
        <v>2</v>
      </c>
      <c r="K132" s="55" t="s">
        <v>22</v>
      </c>
    </row>
    <row r="133" spans="1:11">
      <c r="A133" s="51" t="str" cm="1">
        <f t="array" ref="A133">INDEX('Sprint Calendar'!$A:$A, MATCH(1, ('Project Planning (2)'!I66 &gt;= 'Sprint Calendar'!$B:$B) * ('Project Planning (2)'!H66 &lt;= 'Sprint Calendar'!$C:$C), 0))</f>
        <v>Sprint 17</v>
      </c>
      <c r="B133" s="81" t="s">
        <v>84</v>
      </c>
      <c r="C133" s="77" t="s">
        <v>117</v>
      </c>
      <c r="D133" s="51" t="s">
        <v>278</v>
      </c>
      <c r="E133" s="51" t="s">
        <v>123</v>
      </c>
      <c r="F133" s="51" t="s">
        <v>278</v>
      </c>
      <c r="G133" s="52">
        <v>2</v>
      </c>
      <c r="H133" s="53" t="e">
        <f t="shared" si="11"/>
        <v>#DIV/0!</v>
      </c>
      <c r="I133" s="53" t="e">
        <f t="shared" si="12"/>
        <v>#DIV/0!</v>
      </c>
      <c r="J133" s="54">
        <f t="shared" si="13"/>
        <v>2</v>
      </c>
      <c r="K133" s="55" t="s">
        <v>22</v>
      </c>
    </row>
    <row r="134" spans="1:11">
      <c r="A134" s="51" t="str" cm="1">
        <f t="array" ref="A134">INDEX('Sprint Calendar'!$A:$A, MATCH(1, ('Project Planning (2)'!I71 &gt;= 'Sprint Calendar'!$B:$B) * ('Project Planning (2)'!H71 &lt;= 'Sprint Calendar'!$C:$C), 0))</f>
        <v>Sprint 18</v>
      </c>
      <c r="B134" s="81" t="s">
        <v>84</v>
      </c>
      <c r="C134" s="77" t="s">
        <v>124</v>
      </c>
      <c r="D134" s="51" t="s">
        <v>278</v>
      </c>
      <c r="E134" s="51" t="s">
        <v>123</v>
      </c>
      <c r="F134" s="51" t="s">
        <v>278</v>
      </c>
      <c r="G134" s="52">
        <v>2</v>
      </c>
      <c r="H134" s="53" t="e">
        <f t="shared" si="11"/>
        <v>#DIV/0!</v>
      </c>
      <c r="I134" s="53" t="e">
        <f t="shared" si="12"/>
        <v>#DIV/0!</v>
      </c>
      <c r="J134" s="54">
        <f t="shared" si="13"/>
        <v>2</v>
      </c>
      <c r="K134" s="55" t="s">
        <v>22</v>
      </c>
    </row>
    <row r="135" spans="1:11">
      <c r="A135" s="51" t="str" cm="1">
        <f t="array" ref="A135">INDEX('Sprint Calendar'!$A:$A, MATCH(1, ('Project Planning (2)'!I111 &gt;= 'Sprint Calendar'!$B:$B) * ('Project Planning (2)'!H111 &lt;= 'Sprint Calendar'!$C:$C), 0))</f>
        <v>Sprint 7</v>
      </c>
      <c r="B135" s="81" t="s">
        <v>84</v>
      </c>
      <c r="C135" s="51" t="s">
        <v>175</v>
      </c>
      <c r="D135" s="51" t="s">
        <v>278</v>
      </c>
      <c r="E135" s="51" t="s">
        <v>180</v>
      </c>
      <c r="F135" s="51" t="s">
        <v>278</v>
      </c>
      <c r="G135" s="52">
        <v>1</v>
      </c>
      <c r="H135" s="53" t="e">
        <f t="shared" si="11"/>
        <v>#DIV/0!</v>
      </c>
      <c r="I135" s="53" t="e">
        <f t="shared" si="12"/>
        <v>#DIV/0!</v>
      </c>
      <c r="J135" s="54">
        <f t="shared" si="13"/>
        <v>1</v>
      </c>
      <c r="K135" s="102" t="s">
        <v>22</v>
      </c>
    </row>
    <row r="136" spans="1:11">
      <c r="A136" s="51" t="str" cm="1">
        <f t="array" ref="A136">INDEX('Sprint Calendar'!$A:$A, MATCH(1, ('Project Planning (2)'!I116 &gt;= 'Sprint Calendar'!$B:$B) * ('Project Planning (2)'!H116 &lt;= 'Sprint Calendar'!$C:$C), 0))</f>
        <v>Sprint 8</v>
      </c>
      <c r="B136" s="81" t="s">
        <v>84</v>
      </c>
      <c r="C136" s="51" t="s">
        <v>181</v>
      </c>
      <c r="D136" s="51" t="s">
        <v>278</v>
      </c>
      <c r="E136" s="51" t="s">
        <v>186</v>
      </c>
      <c r="F136" s="51" t="s">
        <v>278</v>
      </c>
      <c r="G136" s="52">
        <v>1</v>
      </c>
      <c r="H136" s="53" t="e">
        <f t="shared" si="11"/>
        <v>#DIV/0!</v>
      </c>
      <c r="I136" s="53" t="e">
        <f t="shared" si="12"/>
        <v>#DIV/0!</v>
      </c>
      <c r="J136" s="54">
        <f t="shared" si="13"/>
        <v>1</v>
      </c>
      <c r="K136" s="102" t="s">
        <v>22</v>
      </c>
    </row>
    <row r="137" spans="1:11">
      <c r="A137" s="51" t="str" cm="1">
        <f t="array" ref="A137">INDEX('Sprint Calendar'!$A:$A, MATCH(1, ('Project Planning (2)'!I121 &gt;= 'Sprint Calendar'!$B:$B) * ('Project Planning (2)'!H121 &lt;= 'Sprint Calendar'!$C:$C), 0))</f>
        <v>Sprint 10</v>
      </c>
      <c r="B137" s="81" t="s">
        <v>84</v>
      </c>
      <c r="C137" s="51" t="s">
        <v>187</v>
      </c>
      <c r="D137" s="51" t="s">
        <v>278</v>
      </c>
      <c r="E137" s="51" t="s">
        <v>192</v>
      </c>
      <c r="F137" s="51" t="s">
        <v>278</v>
      </c>
      <c r="G137" s="52">
        <v>1</v>
      </c>
      <c r="H137" s="53" t="e">
        <f t="shared" si="11"/>
        <v>#DIV/0!</v>
      </c>
      <c r="I137" s="53" t="e">
        <f t="shared" si="12"/>
        <v>#DIV/0!</v>
      </c>
      <c r="J137" s="54">
        <f t="shared" si="13"/>
        <v>1</v>
      </c>
      <c r="K137" s="102" t="s">
        <v>22</v>
      </c>
    </row>
    <row r="138" spans="1:11">
      <c r="A138" s="51" t="str" cm="1">
        <f t="array" ref="A138">INDEX('Sprint Calendar'!$A:$A, MATCH(1, ('Project Planning (2)'!I126 &gt;= 'Sprint Calendar'!$B:$B) * ('Project Planning (2)'!H126 &lt;= 'Sprint Calendar'!$C:$C), 0))</f>
        <v>Sprint 11</v>
      </c>
      <c r="B138" s="81" t="s">
        <v>84</v>
      </c>
      <c r="C138" s="51" t="s">
        <v>193</v>
      </c>
      <c r="D138" s="51" t="s">
        <v>278</v>
      </c>
      <c r="E138" s="51" t="s">
        <v>198</v>
      </c>
      <c r="F138" s="51" t="s">
        <v>278</v>
      </c>
      <c r="G138" s="52">
        <v>1</v>
      </c>
      <c r="H138" s="53" t="e">
        <f t="shared" si="11"/>
        <v>#DIV/0!</v>
      </c>
      <c r="I138" s="53" t="e">
        <f t="shared" si="12"/>
        <v>#DIV/0!</v>
      </c>
      <c r="J138" s="54">
        <f t="shared" si="13"/>
        <v>1</v>
      </c>
      <c r="K138" s="102" t="s">
        <v>22</v>
      </c>
    </row>
    <row r="139" spans="1:11">
      <c r="A139" s="51" t="e" cm="1">
        <f t="array" ref="A139">INDEX('Sprint Calendar'!$A:$A, MATCH(1, ('Project Planning (2)'!I131 &gt;= 'Sprint Calendar'!$B:$B) * ('Project Planning (2)'!H131 &lt;= 'Sprint Calendar'!$C:$C), 0))</f>
        <v>#N/A</v>
      </c>
      <c r="B139" s="81" t="s">
        <v>84</v>
      </c>
      <c r="C139" s="77" t="s">
        <v>199</v>
      </c>
      <c r="D139" s="51" t="s">
        <v>278</v>
      </c>
      <c r="E139" s="51" t="s">
        <v>204</v>
      </c>
      <c r="F139" s="51" t="s">
        <v>278</v>
      </c>
      <c r="G139" s="52">
        <v>1</v>
      </c>
      <c r="H139" s="53" t="e">
        <f t="shared" si="11"/>
        <v>#DIV/0!</v>
      </c>
      <c r="I139" s="53" t="e">
        <f t="shared" ref="I139:I170" si="14">WORKDAY(H139,J139)</f>
        <v>#DIV/0!</v>
      </c>
      <c r="J139" s="54">
        <f t="shared" si="13"/>
        <v>1</v>
      </c>
      <c r="K139" s="102" t="s">
        <v>22</v>
      </c>
    </row>
    <row r="140" spans="1:11">
      <c r="A140" s="51" t="e" cm="1">
        <f t="array" ref="A140">INDEX('Sprint Calendar'!$A:$A, MATCH(1, ('Project Planning (2)'!I136 &gt;= 'Sprint Calendar'!$B:$B) * ('Project Planning (2)'!H136 &lt;= 'Sprint Calendar'!$C:$C), 0))</f>
        <v>#N/A</v>
      </c>
      <c r="B140" s="81" t="s">
        <v>84</v>
      </c>
      <c r="C140" s="77" t="s">
        <v>205</v>
      </c>
      <c r="D140" s="51" t="s">
        <v>278</v>
      </c>
      <c r="E140" s="51" t="s">
        <v>211</v>
      </c>
      <c r="F140" s="51" t="s">
        <v>278</v>
      </c>
      <c r="G140" s="52">
        <v>1</v>
      </c>
      <c r="H140" s="53" t="e">
        <f t="shared" si="11"/>
        <v>#DIV/0!</v>
      </c>
      <c r="I140" s="53" t="e">
        <f t="shared" si="14"/>
        <v>#DIV/0!</v>
      </c>
      <c r="J140" s="54">
        <f t="shared" si="13"/>
        <v>1</v>
      </c>
      <c r="K140" s="102" t="s">
        <v>22</v>
      </c>
    </row>
    <row r="141" spans="1:11">
      <c r="A141" s="51" t="e" cm="1">
        <f t="array" ref="A141">INDEX('Sprint Calendar'!$A:$A, MATCH(1, ('Project Planning (2)'!I141 &gt;= 'Sprint Calendar'!$B:$B) * ('Project Planning (2)'!H141 &lt;= 'Sprint Calendar'!$C:$C), 0))</f>
        <v>#N/A</v>
      </c>
      <c r="B141" s="81" t="s">
        <v>84</v>
      </c>
      <c r="C141" s="77" t="s">
        <v>212</v>
      </c>
      <c r="D141" s="51" t="s">
        <v>278</v>
      </c>
      <c r="E141" s="51" t="s">
        <v>218</v>
      </c>
      <c r="F141" s="51" t="s">
        <v>278</v>
      </c>
      <c r="G141" s="52">
        <v>1</v>
      </c>
      <c r="H141" s="53" t="e">
        <f t="shared" si="11"/>
        <v>#DIV/0!</v>
      </c>
      <c r="I141" s="53" t="e">
        <f t="shared" si="14"/>
        <v>#DIV/0!</v>
      </c>
      <c r="J141" s="54">
        <f t="shared" si="13"/>
        <v>1</v>
      </c>
      <c r="K141" s="102" t="s">
        <v>22</v>
      </c>
    </row>
    <row r="142" spans="1:11">
      <c r="A142" s="51" t="str" cm="1">
        <f t="array" ref="A142">INDEX('Sprint Calendar'!$A:$A, MATCH(1, ('Project Planning (2)'!I179 &gt;= 'Sprint Calendar'!$B:$B) * ('Project Planning (2)'!H179 &lt;= 'Sprint Calendar'!$C:$C), 0))</f>
        <v>Sprint 16</v>
      </c>
      <c r="B142" s="81" t="s">
        <v>84</v>
      </c>
      <c r="C142" s="77" t="s">
        <v>260</v>
      </c>
      <c r="D142" s="51" t="s">
        <v>278</v>
      </c>
      <c r="E142" s="77" t="s">
        <v>265</v>
      </c>
      <c r="F142" s="51" t="s">
        <v>278</v>
      </c>
      <c r="G142" s="52">
        <v>1</v>
      </c>
      <c r="H142" s="53" t="e">
        <f t="shared" si="11"/>
        <v>#DIV/0!</v>
      </c>
      <c r="I142" s="53" t="e">
        <f t="shared" si="14"/>
        <v>#DIV/0!</v>
      </c>
      <c r="J142" s="54">
        <f t="shared" si="13"/>
        <v>1</v>
      </c>
      <c r="K142" s="102" t="s">
        <v>22</v>
      </c>
    </row>
    <row r="143" spans="1:11">
      <c r="A143" s="82" t="str" cm="1">
        <f t="array" ref="A143">INDEX('Sprint Calendar'!$A:$A, MATCH(1, ('Project Planning (2)'!I183 &gt;= 'Sprint Calendar'!$B:$B) * ('Project Planning (2)'!H183 &lt;= 'Sprint Calendar'!$C:$C), 0))</f>
        <v>Sprint 17</v>
      </c>
      <c r="B143" s="83" t="s">
        <v>84</v>
      </c>
      <c r="C143" s="88" t="s">
        <v>266</v>
      </c>
      <c r="D143" s="82" t="s">
        <v>278</v>
      </c>
      <c r="E143" s="88" t="s">
        <v>271</v>
      </c>
      <c r="F143" s="51" t="s">
        <v>278</v>
      </c>
      <c r="G143" s="84">
        <v>1</v>
      </c>
      <c r="H143" s="85" t="e">
        <f t="shared" si="11"/>
        <v>#DIV/0!</v>
      </c>
      <c r="I143" s="85" t="e">
        <f t="shared" si="14"/>
        <v>#DIV/0!</v>
      </c>
      <c r="J143" s="86">
        <f t="shared" si="13"/>
        <v>1</v>
      </c>
      <c r="K143" s="87" t="s">
        <v>22</v>
      </c>
    </row>
    <row r="144" spans="1:11">
      <c r="A144" s="51" t="str" cm="1">
        <f t="array" ref="A144">INDEX('Sprint Calendar'!$A:$A, MATCH(1, ('Project Planning (2)'!I38 &gt;= 'Sprint Calendar'!$B:$B) * ('Project Planning (2)'!H38 &lt;= 'Sprint Calendar'!$C:$C), 0))</f>
        <v>Sprint 11</v>
      </c>
      <c r="B144" s="81" t="s">
        <v>84</v>
      </c>
      <c r="C144" s="51" t="s">
        <v>45</v>
      </c>
      <c r="D144" s="51" t="s">
        <v>50</v>
      </c>
      <c r="E144" s="51" t="s">
        <v>51</v>
      </c>
      <c r="F144" s="51" t="s">
        <v>86</v>
      </c>
      <c r="G144" s="52">
        <v>4</v>
      </c>
      <c r="H144" s="53">
        <v>46023</v>
      </c>
      <c r="I144" s="53">
        <f t="shared" si="14"/>
        <v>46029</v>
      </c>
      <c r="J144" s="54">
        <f t="shared" ref="J144:J160" si="15">G144/$N$7</f>
        <v>4</v>
      </c>
      <c r="K144" s="55" t="s">
        <v>22</v>
      </c>
    </row>
    <row r="145" spans="1:11">
      <c r="A145" s="51" t="str" cm="1">
        <f t="array" ref="A145">INDEX('Sprint Calendar'!$A:$A, MATCH(1, ('Project Planning (2)'!I39 &gt;= 'Sprint Calendar'!$B:$B) * ('Project Planning (2)'!H39 &lt;= 'Sprint Calendar'!$C:$C), 0))</f>
        <v>Sprint 11</v>
      </c>
      <c r="B145" s="81" t="s">
        <v>84</v>
      </c>
      <c r="C145" s="51" t="s">
        <v>45</v>
      </c>
      <c r="D145" s="51" t="s">
        <v>50</v>
      </c>
      <c r="E145" s="51" t="s">
        <v>52</v>
      </c>
      <c r="F145" s="51" t="s">
        <v>86</v>
      </c>
      <c r="G145" s="52">
        <v>4</v>
      </c>
      <c r="H145" s="53">
        <f t="shared" ref="H145:H190" si="16">WORKDAY(I144,1)</f>
        <v>46030</v>
      </c>
      <c r="I145" s="53">
        <f t="shared" si="14"/>
        <v>46036</v>
      </c>
      <c r="J145" s="54">
        <f t="shared" si="15"/>
        <v>4</v>
      </c>
      <c r="K145" s="55" t="s">
        <v>22</v>
      </c>
    </row>
    <row r="146" spans="1:11">
      <c r="A146" s="51" t="str" cm="1">
        <f t="array" ref="A146">INDEX('Sprint Calendar'!$A:$A, MATCH(1, ('Project Planning (2)'!I40 &gt;= 'Sprint Calendar'!$B:$B) * ('Project Planning (2)'!H40 &lt;= 'Sprint Calendar'!$C:$C), 0))</f>
        <v>Sprint 11</v>
      </c>
      <c r="B146" s="81" t="s">
        <v>84</v>
      </c>
      <c r="C146" s="51" t="s">
        <v>45</v>
      </c>
      <c r="D146" s="51" t="s">
        <v>50</v>
      </c>
      <c r="E146" s="51" t="s">
        <v>54</v>
      </c>
      <c r="F146" s="51" t="s">
        <v>86</v>
      </c>
      <c r="G146" s="52">
        <v>2</v>
      </c>
      <c r="H146" s="53">
        <f t="shared" si="16"/>
        <v>46037</v>
      </c>
      <c r="I146" s="53">
        <f t="shared" si="14"/>
        <v>46041</v>
      </c>
      <c r="J146" s="54">
        <f t="shared" si="15"/>
        <v>2</v>
      </c>
      <c r="K146" s="55" t="s">
        <v>22</v>
      </c>
    </row>
    <row r="147" spans="1:11">
      <c r="A147" s="51" t="str" cm="1">
        <f t="array" ref="A147">INDEX('Sprint Calendar'!$A:$A, MATCH(1, ('Project Planning (2)'!I44 &gt;= 'Sprint Calendar'!$B:$B) * ('Project Planning (2)'!H44 &lt;= 'Sprint Calendar'!$C:$C), 0))</f>
        <v>Sprint 12</v>
      </c>
      <c r="B147" s="81" t="s">
        <v>84</v>
      </c>
      <c r="C147" s="77" t="s">
        <v>87</v>
      </c>
      <c r="D147" s="51" t="s">
        <v>50</v>
      </c>
      <c r="E147" s="51" t="s">
        <v>90</v>
      </c>
      <c r="F147" s="51" t="s">
        <v>86</v>
      </c>
      <c r="G147" s="52">
        <v>5</v>
      </c>
      <c r="H147" s="53">
        <f t="shared" si="16"/>
        <v>46042</v>
      </c>
      <c r="I147" s="53">
        <f t="shared" si="14"/>
        <v>46049</v>
      </c>
      <c r="J147" s="54">
        <f t="shared" si="15"/>
        <v>5</v>
      </c>
      <c r="K147" s="55" t="s">
        <v>22</v>
      </c>
    </row>
    <row r="148" spans="1:11">
      <c r="A148" s="51" t="str" cm="1">
        <f t="array" ref="A148">INDEX('Sprint Calendar'!$A:$A, MATCH(1, ('Project Planning (2)'!I45 &gt;= 'Sprint Calendar'!$B:$B) * ('Project Planning (2)'!H45 &lt;= 'Sprint Calendar'!$C:$C), 0))</f>
        <v>Sprint 12</v>
      </c>
      <c r="B148" s="81" t="s">
        <v>84</v>
      </c>
      <c r="C148" s="77" t="s">
        <v>87</v>
      </c>
      <c r="D148" s="51" t="s">
        <v>50</v>
      </c>
      <c r="E148" s="51" t="s">
        <v>91</v>
      </c>
      <c r="F148" s="51" t="s">
        <v>86</v>
      </c>
      <c r="G148" s="52">
        <v>5</v>
      </c>
      <c r="H148" s="53">
        <f t="shared" si="16"/>
        <v>46050</v>
      </c>
      <c r="I148" s="53">
        <f t="shared" si="14"/>
        <v>46057</v>
      </c>
      <c r="J148" s="54">
        <f t="shared" si="15"/>
        <v>5</v>
      </c>
      <c r="K148" s="55" t="s">
        <v>22</v>
      </c>
    </row>
    <row r="149" spans="1:11">
      <c r="A149" s="51" t="str" cm="1">
        <f t="array" ref="A149">INDEX('Sprint Calendar'!$A:$A, MATCH(1, ('Project Planning (2)'!I49 &gt;= 'Sprint Calendar'!$B:$B) * ('Project Planning (2)'!H49 &lt;= 'Sprint Calendar'!$C:$C), 0))</f>
        <v>Sprint 13</v>
      </c>
      <c r="B149" s="81" t="s">
        <v>84</v>
      </c>
      <c r="C149" s="77" t="s">
        <v>93</v>
      </c>
      <c r="D149" s="51" t="s">
        <v>50</v>
      </c>
      <c r="E149" s="51" t="s">
        <v>96</v>
      </c>
      <c r="F149" s="51" t="s">
        <v>86</v>
      </c>
      <c r="G149" s="52">
        <v>5</v>
      </c>
      <c r="H149" s="53">
        <f t="shared" si="16"/>
        <v>46058</v>
      </c>
      <c r="I149" s="53">
        <f t="shared" si="14"/>
        <v>46065</v>
      </c>
      <c r="J149" s="54">
        <f t="shared" si="15"/>
        <v>5</v>
      </c>
      <c r="K149" s="55" t="s">
        <v>22</v>
      </c>
    </row>
    <row r="150" spans="1:11">
      <c r="A150" s="51" t="str" cm="1">
        <f t="array" ref="A150">INDEX('Sprint Calendar'!$A:$A, MATCH(1, ('Project Planning (2)'!I50 &gt;= 'Sprint Calendar'!$B:$B) * ('Project Planning (2)'!H50 &lt;= 'Sprint Calendar'!$C:$C), 0))</f>
        <v>Sprint 13</v>
      </c>
      <c r="B150" s="81" t="s">
        <v>84</v>
      </c>
      <c r="C150" s="77" t="s">
        <v>93</v>
      </c>
      <c r="D150" s="51" t="s">
        <v>50</v>
      </c>
      <c r="E150" s="51" t="s">
        <v>98</v>
      </c>
      <c r="F150" s="51" t="s">
        <v>86</v>
      </c>
      <c r="G150" s="52">
        <v>5</v>
      </c>
      <c r="H150" s="53">
        <f t="shared" si="16"/>
        <v>46066</v>
      </c>
      <c r="I150" s="53">
        <f t="shared" si="14"/>
        <v>46073</v>
      </c>
      <c r="J150" s="54">
        <f t="shared" si="15"/>
        <v>5</v>
      </c>
      <c r="K150" s="55" t="s">
        <v>22</v>
      </c>
    </row>
    <row r="151" spans="1:11">
      <c r="A151" s="51" t="str" cm="1">
        <f t="array" ref="A151">INDEX('Sprint Calendar'!$A:$A, MATCH(1, ('Project Planning (2)'!I74 &gt;= 'Sprint Calendar'!$B:$B) * ('Project Planning (2)'!H74 &lt;= 'Sprint Calendar'!$C:$C), 0))</f>
        <v>Sprint 19</v>
      </c>
      <c r="B151" s="81" t="s">
        <v>84</v>
      </c>
      <c r="C151" s="51" t="s">
        <v>126</v>
      </c>
      <c r="D151" s="51" t="s">
        <v>50</v>
      </c>
      <c r="E151" s="51" t="s">
        <v>129</v>
      </c>
      <c r="F151" s="51" t="s">
        <v>86</v>
      </c>
      <c r="G151" s="52">
        <v>1</v>
      </c>
      <c r="H151" s="53">
        <f t="shared" si="16"/>
        <v>46076</v>
      </c>
      <c r="I151" s="53">
        <f t="shared" si="14"/>
        <v>46077</v>
      </c>
      <c r="J151" s="54">
        <f t="shared" si="15"/>
        <v>1</v>
      </c>
      <c r="K151" s="55" t="s">
        <v>22</v>
      </c>
    </row>
    <row r="152" spans="1:11">
      <c r="A152" s="51" t="str" cm="1">
        <f t="array" ref="A152">INDEX('Sprint Calendar'!$A:$A, MATCH(1, ('Project Planning (2)'!I75 &gt;= 'Sprint Calendar'!$B:$B) * ('Project Planning (2)'!H75 &lt;= 'Sprint Calendar'!$C:$C), 0))</f>
        <v>Sprint 19</v>
      </c>
      <c r="B152" s="81" t="s">
        <v>84</v>
      </c>
      <c r="C152" s="51" t="s">
        <v>126</v>
      </c>
      <c r="D152" s="51" t="s">
        <v>50</v>
      </c>
      <c r="E152" s="51" t="s">
        <v>130</v>
      </c>
      <c r="F152" s="51" t="s">
        <v>86</v>
      </c>
      <c r="G152" s="52">
        <v>2</v>
      </c>
      <c r="H152" s="53">
        <f t="shared" si="16"/>
        <v>46078</v>
      </c>
      <c r="I152" s="53">
        <f t="shared" si="14"/>
        <v>46080</v>
      </c>
      <c r="J152" s="54">
        <f t="shared" si="15"/>
        <v>2</v>
      </c>
      <c r="K152" s="55" t="s">
        <v>22</v>
      </c>
    </row>
    <row r="153" spans="1:11">
      <c r="A153" s="51" t="str" cm="1">
        <f t="array" ref="A153">INDEX('Sprint Calendar'!$A:$A, MATCH(1, ('Project Planning (2)'!I79 &gt;= 'Sprint Calendar'!$B:$B) * ('Project Planning (2)'!H79 &lt;= 'Sprint Calendar'!$C:$C), 0))</f>
        <v>Sprint 20</v>
      </c>
      <c r="B153" s="81" t="s">
        <v>84</v>
      </c>
      <c r="C153" s="51" t="s">
        <v>132</v>
      </c>
      <c r="D153" s="51" t="s">
        <v>50</v>
      </c>
      <c r="E153" s="51" t="s">
        <v>135</v>
      </c>
      <c r="F153" s="51" t="s">
        <v>86</v>
      </c>
      <c r="G153" s="52">
        <v>1</v>
      </c>
      <c r="H153" s="53">
        <f t="shared" si="16"/>
        <v>46083</v>
      </c>
      <c r="I153" s="53">
        <f t="shared" si="14"/>
        <v>46084</v>
      </c>
      <c r="J153" s="54">
        <f t="shared" si="15"/>
        <v>1</v>
      </c>
      <c r="K153" s="102" t="s">
        <v>22</v>
      </c>
    </row>
    <row r="154" spans="1:11">
      <c r="A154" s="51" t="str" cm="1">
        <f t="array" ref="A154">INDEX('Sprint Calendar'!$A:$A, MATCH(1, ('Project Planning (2)'!I80 &gt;= 'Sprint Calendar'!$B:$B) * ('Project Planning (2)'!H80 &lt;= 'Sprint Calendar'!$C:$C), 0))</f>
        <v>Sprint 20</v>
      </c>
      <c r="B154" s="81" t="s">
        <v>84</v>
      </c>
      <c r="C154" s="51" t="s">
        <v>132</v>
      </c>
      <c r="D154" s="51" t="s">
        <v>50</v>
      </c>
      <c r="E154" s="51" t="s">
        <v>136</v>
      </c>
      <c r="F154" s="51" t="s">
        <v>86</v>
      </c>
      <c r="G154" s="52">
        <v>2</v>
      </c>
      <c r="H154" s="53">
        <f t="shared" si="16"/>
        <v>46085</v>
      </c>
      <c r="I154" s="53">
        <f t="shared" si="14"/>
        <v>46087</v>
      </c>
      <c r="J154" s="54">
        <f t="shared" si="15"/>
        <v>2</v>
      </c>
      <c r="K154" s="102" t="s">
        <v>22</v>
      </c>
    </row>
    <row r="155" spans="1:11">
      <c r="A155" s="51" t="str" cm="1">
        <f t="array" ref="A155">INDEX('Sprint Calendar'!$A:$A, MATCH(1, ('Project Planning (2)'!I84 &gt;= 'Sprint Calendar'!$B:$B) * ('Project Planning (2)'!H84 &lt;= 'Sprint Calendar'!$C:$C), 0))</f>
        <v>Sprint 20</v>
      </c>
      <c r="B155" s="81" t="s">
        <v>84</v>
      </c>
      <c r="C155" s="51" t="s">
        <v>138</v>
      </c>
      <c r="D155" s="51" t="s">
        <v>50</v>
      </c>
      <c r="E155" s="51" t="s">
        <v>141</v>
      </c>
      <c r="F155" s="51" t="s">
        <v>86</v>
      </c>
      <c r="G155" s="52">
        <v>3</v>
      </c>
      <c r="H155" s="53">
        <f t="shared" si="16"/>
        <v>46090</v>
      </c>
      <c r="I155" s="53">
        <f t="shared" si="14"/>
        <v>46093</v>
      </c>
      <c r="J155" s="54">
        <f t="shared" si="15"/>
        <v>3</v>
      </c>
      <c r="K155" s="102" t="s">
        <v>22</v>
      </c>
    </row>
    <row r="156" spans="1:11">
      <c r="A156" s="51" t="str" cm="1">
        <f t="array" ref="A156">INDEX('Sprint Calendar'!$A:$A, MATCH(1, ('Project Planning (2)'!I85 &gt;= 'Sprint Calendar'!$B:$B) * ('Project Planning (2)'!H85 &lt;= 'Sprint Calendar'!$C:$C), 0))</f>
        <v>Sprint 20</v>
      </c>
      <c r="B156" s="81" t="s">
        <v>84</v>
      </c>
      <c r="C156" s="51" t="s">
        <v>138</v>
      </c>
      <c r="D156" s="51" t="s">
        <v>50</v>
      </c>
      <c r="E156" s="51" t="s">
        <v>142</v>
      </c>
      <c r="F156" s="51" t="s">
        <v>86</v>
      </c>
      <c r="G156" s="52">
        <v>5</v>
      </c>
      <c r="H156" s="53">
        <f t="shared" si="16"/>
        <v>46094</v>
      </c>
      <c r="I156" s="53">
        <f t="shared" si="14"/>
        <v>46101</v>
      </c>
      <c r="J156" s="54">
        <f t="shared" si="15"/>
        <v>5</v>
      </c>
      <c r="K156" s="102" t="s">
        <v>22</v>
      </c>
    </row>
    <row r="157" spans="1:11">
      <c r="A157" s="51" t="str" cm="1">
        <f t="array" ref="A157">INDEX('Sprint Calendar'!$A:$A, MATCH(1, ('Project Planning (2)'!I89 &gt;= 'Sprint Calendar'!$B:$B) * ('Project Planning (2)'!H89 &lt;= 'Sprint Calendar'!$C:$C), 0))</f>
        <v>Sprint 21</v>
      </c>
      <c r="B157" s="81" t="s">
        <v>84</v>
      </c>
      <c r="C157" s="51" t="s">
        <v>144</v>
      </c>
      <c r="D157" s="51" t="s">
        <v>50</v>
      </c>
      <c r="E157" s="51" t="s">
        <v>147</v>
      </c>
      <c r="F157" s="51" t="s">
        <v>86</v>
      </c>
      <c r="G157" s="52">
        <v>2</v>
      </c>
      <c r="H157" s="53">
        <f t="shared" si="16"/>
        <v>46104</v>
      </c>
      <c r="I157" s="53">
        <f t="shared" si="14"/>
        <v>46106</v>
      </c>
      <c r="J157" s="54">
        <f t="shared" si="15"/>
        <v>2</v>
      </c>
      <c r="K157" s="102" t="s">
        <v>22</v>
      </c>
    </row>
    <row r="158" spans="1:11">
      <c r="A158" s="51" t="str" cm="1">
        <f t="array" ref="A158">INDEX('Sprint Calendar'!$A:$A, MATCH(1, ('Project Planning (2)'!I90 &gt;= 'Sprint Calendar'!$B:$B) * ('Project Planning (2)'!H90 &lt;= 'Sprint Calendar'!$C:$C), 0))</f>
        <v>Sprint 21</v>
      </c>
      <c r="B158" s="81" t="s">
        <v>84</v>
      </c>
      <c r="C158" s="51" t="s">
        <v>144</v>
      </c>
      <c r="D158" s="51" t="s">
        <v>50</v>
      </c>
      <c r="E158" s="51" t="s">
        <v>148</v>
      </c>
      <c r="F158" s="51" t="s">
        <v>86</v>
      </c>
      <c r="G158" s="52">
        <v>4</v>
      </c>
      <c r="H158" s="53">
        <f t="shared" si="16"/>
        <v>46107</v>
      </c>
      <c r="I158" s="53">
        <f t="shared" si="14"/>
        <v>46113</v>
      </c>
      <c r="J158" s="54">
        <f t="shared" si="15"/>
        <v>4</v>
      </c>
      <c r="K158" s="102" t="s">
        <v>22</v>
      </c>
    </row>
    <row r="159" spans="1:11">
      <c r="A159" s="51" t="str" cm="1">
        <f t="array" ref="A159">INDEX('Sprint Calendar'!$A:$A, MATCH(1, ('Project Planning (2)'!I94 &gt;= 'Sprint Calendar'!$B:$B) * ('Project Planning (2)'!H94 &lt;= 'Sprint Calendar'!$C:$C), 0))</f>
        <v>Sprint 1</v>
      </c>
      <c r="B159" s="81" t="s">
        <v>84</v>
      </c>
      <c r="C159" s="51" t="s">
        <v>152</v>
      </c>
      <c r="D159" s="51" t="s">
        <v>50</v>
      </c>
      <c r="E159" s="51" t="s">
        <v>155</v>
      </c>
      <c r="F159" s="51" t="s">
        <v>86</v>
      </c>
      <c r="G159" s="52">
        <v>1.5</v>
      </c>
      <c r="H159" s="53">
        <f t="shared" si="16"/>
        <v>46114</v>
      </c>
      <c r="I159" s="53">
        <f t="shared" si="14"/>
        <v>46115</v>
      </c>
      <c r="J159" s="54">
        <f t="shared" si="15"/>
        <v>1.5</v>
      </c>
      <c r="K159" s="102" t="s">
        <v>22</v>
      </c>
    </row>
    <row r="160" spans="1:11">
      <c r="A160" s="51" t="str" cm="1">
        <f t="array" ref="A160">INDEX('Sprint Calendar'!$A:$A, MATCH(1, ('Project Planning (2)'!I95 &gt;= 'Sprint Calendar'!$B:$B) * ('Project Planning (2)'!H95 &lt;= 'Sprint Calendar'!$C:$C), 0))</f>
        <v>Sprint 1</v>
      </c>
      <c r="B160" s="81" t="s">
        <v>84</v>
      </c>
      <c r="C160" s="51" t="s">
        <v>152</v>
      </c>
      <c r="D160" s="51" t="s">
        <v>50</v>
      </c>
      <c r="E160" s="51" t="s">
        <v>157</v>
      </c>
      <c r="F160" s="51" t="s">
        <v>86</v>
      </c>
      <c r="G160" s="52">
        <v>2.5</v>
      </c>
      <c r="H160" s="53">
        <f t="shared" si="16"/>
        <v>46118</v>
      </c>
      <c r="I160" s="53">
        <f t="shared" si="14"/>
        <v>46120</v>
      </c>
      <c r="J160" s="54">
        <f t="shared" si="15"/>
        <v>2.5</v>
      </c>
      <c r="K160" s="102" t="s">
        <v>22</v>
      </c>
    </row>
    <row r="161" spans="1:11" hidden="1">
      <c r="A161" s="51" t="str" cm="1">
        <f t="array" ref="A161">INDEX('Sprint Calendar'!$A:$A, MATCH(1, ('Project Planning (2)'!I186 &gt;= 'Sprint Calendar'!$B:$B) * ('Project Planning (2)'!H186 &lt;= 'Sprint Calendar'!$C:$C), 0))</f>
        <v>Sprint 18</v>
      </c>
      <c r="B161" s="49" t="s">
        <v>274</v>
      </c>
      <c r="C161" s="77" t="s">
        <v>282</v>
      </c>
      <c r="D161" s="51" t="s">
        <v>50</v>
      </c>
      <c r="E161" s="51" t="s">
        <v>286</v>
      </c>
      <c r="F161" s="51" t="s">
        <v>18</v>
      </c>
      <c r="G161" s="52">
        <v>3</v>
      </c>
      <c r="H161" s="53">
        <f t="shared" si="16"/>
        <v>46121</v>
      </c>
      <c r="I161" s="53">
        <f t="shared" si="14"/>
        <v>46126</v>
      </c>
      <c r="J161" s="54">
        <f t="shared" ref="J161:J173" si="17">G161/$N$5</f>
        <v>3</v>
      </c>
      <c r="K161" s="102" t="s">
        <v>22</v>
      </c>
    </row>
    <row r="162" spans="1:11" hidden="1">
      <c r="A162" s="51" t="str" cm="1">
        <f t="array" ref="A162">INDEX('Sprint Calendar'!$A:$A, MATCH(1, ('Project Planning (2)'!I187 &gt;= 'Sprint Calendar'!$B:$B) * ('Project Planning (2)'!H187 &lt;= 'Sprint Calendar'!$C:$C), 0))</f>
        <v>Sprint 19</v>
      </c>
      <c r="B162" s="49" t="s">
        <v>274</v>
      </c>
      <c r="C162" s="77" t="s">
        <v>282</v>
      </c>
      <c r="D162" s="51" t="s">
        <v>50</v>
      </c>
      <c r="E162" s="51" t="s">
        <v>287</v>
      </c>
      <c r="F162" s="51" t="s">
        <v>18</v>
      </c>
      <c r="G162" s="52">
        <v>4</v>
      </c>
      <c r="H162" s="53">
        <f t="shared" si="16"/>
        <v>46127</v>
      </c>
      <c r="I162" s="53">
        <f t="shared" si="14"/>
        <v>46133</v>
      </c>
      <c r="J162" s="54">
        <f t="shared" si="17"/>
        <v>4</v>
      </c>
      <c r="K162" s="102" t="s">
        <v>22</v>
      </c>
    </row>
    <row r="163" spans="1:11" hidden="1">
      <c r="A163" s="51" t="str" cm="1">
        <f t="array" ref="A163">INDEX('Sprint Calendar'!$A:$A, MATCH(1, ('Project Planning (2)'!I191 &gt;= 'Sprint Calendar'!$B:$B) * ('Project Planning (2)'!H191 &lt;= 'Sprint Calendar'!$C:$C), 0))</f>
        <v>Sprint 20</v>
      </c>
      <c r="B163" s="49" t="s">
        <v>274</v>
      </c>
      <c r="C163" s="77" t="s">
        <v>290</v>
      </c>
      <c r="D163" s="51" t="s">
        <v>50</v>
      </c>
      <c r="E163" s="51" t="s">
        <v>293</v>
      </c>
      <c r="F163" s="51" t="s">
        <v>18</v>
      </c>
      <c r="G163" s="52">
        <v>1</v>
      </c>
      <c r="H163" s="53">
        <f t="shared" si="16"/>
        <v>46134</v>
      </c>
      <c r="I163" s="53">
        <f t="shared" si="14"/>
        <v>46135</v>
      </c>
      <c r="J163" s="54">
        <f t="shared" si="17"/>
        <v>1</v>
      </c>
      <c r="K163" s="102" t="s">
        <v>22</v>
      </c>
    </row>
    <row r="164" spans="1:11" hidden="1">
      <c r="A164" s="51" t="str" cm="1">
        <f t="array" ref="A164">INDEX('Sprint Calendar'!$A:$A, MATCH(1, ('Project Planning (2)'!I192 &gt;= 'Sprint Calendar'!$B:$B) * ('Project Planning (2)'!H192 &lt;= 'Sprint Calendar'!$C:$C), 0))</f>
        <v>Sprint 20</v>
      </c>
      <c r="B164" s="49" t="s">
        <v>274</v>
      </c>
      <c r="C164" s="77" t="s">
        <v>290</v>
      </c>
      <c r="D164" s="51" t="s">
        <v>50</v>
      </c>
      <c r="E164" s="51" t="s">
        <v>294</v>
      </c>
      <c r="F164" s="51" t="s">
        <v>18</v>
      </c>
      <c r="G164" s="52">
        <v>3</v>
      </c>
      <c r="H164" s="53">
        <f t="shared" si="16"/>
        <v>46136</v>
      </c>
      <c r="I164" s="53">
        <f t="shared" si="14"/>
        <v>46141</v>
      </c>
      <c r="J164" s="54">
        <f t="shared" si="17"/>
        <v>3</v>
      </c>
      <c r="K164" s="102" t="s">
        <v>22</v>
      </c>
    </row>
    <row r="165" spans="1:11" hidden="1">
      <c r="A165" s="51" t="str" cm="1">
        <f t="array" ref="A165">INDEX('Sprint Calendar'!$A:$A, MATCH(1, ('Project Planning (2)'!I196 &gt;= 'Sprint Calendar'!$B:$B) * ('Project Planning (2)'!H196 &lt;= 'Sprint Calendar'!$C:$C), 0))</f>
        <v>Sprint 21</v>
      </c>
      <c r="B165" s="49" t="s">
        <v>274</v>
      </c>
      <c r="C165" s="77" t="s">
        <v>297</v>
      </c>
      <c r="D165" s="51" t="s">
        <v>50</v>
      </c>
      <c r="E165" s="51" t="s">
        <v>300</v>
      </c>
      <c r="F165" s="51" t="s">
        <v>18</v>
      </c>
      <c r="G165" s="52">
        <v>2</v>
      </c>
      <c r="H165" s="53">
        <f t="shared" si="16"/>
        <v>46142</v>
      </c>
      <c r="I165" s="53">
        <f t="shared" si="14"/>
        <v>46146</v>
      </c>
      <c r="J165" s="54">
        <f t="shared" si="17"/>
        <v>2</v>
      </c>
      <c r="K165" s="102" t="s">
        <v>22</v>
      </c>
    </row>
    <row r="166" spans="1:11" hidden="1">
      <c r="A166" s="51" t="str" cm="1">
        <f t="array" ref="A166">INDEX('Sprint Calendar'!$A:$A, MATCH(1, ('Project Planning (2)'!I197 &gt;= 'Sprint Calendar'!$B:$B) * ('Project Planning (2)'!H197 &lt;= 'Sprint Calendar'!$C:$C), 0))</f>
        <v>Sprint 22</v>
      </c>
      <c r="B166" s="49" t="s">
        <v>274</v>
      </c>
      <c r="C166" s="77" t="s">
        <v>297</v>
      </c>
      <c r="D166" s="51" t="s">
        <v>50</v>
      </c>
      <c r="E166" s="51" t="s">
        <v>301</v>
      </c>
      <c r="F166" s="51" t="s">
        <v>18</v>
      </c>
      <c r="G166" s="52">
        <v>2</v>
      </c>
      <c r="H166" s="53">
        <f t="shared" si="16"/>
        <v>46147</v>
      </c>
      <c r="I166" s="53">
        <f t="shared" si="14"/>
        <v>46149</v>
      </c>
      <c r="J166" s="54">
        <f t="shared" si="17"/>
        <v>2</v>
      </c>
      <c r="K166" s="102" t="s">
        <v>22</v>
      </c>
    </row>
    <row r="167" spans="1:11" hidden="1">
      <c r="A167" s="51" t="str" cm="1">
        <f t="array" ref="A167">INDEX('Sprint Calendar'!$A:$A, MATCH(1, ('Project Planning (2)'!I201 &gt;= 'Sprint Calendar'!$B:$B) * ('Project Planning (2)'!H201 &lt;= 'Sprint Calendar'!$C:$C), 0))</f>
        <v>Sprint 23</v>
      </c>
      <c r="B167" s="49" t="s">
        <v>274</v>
      </c>
      <c r="C167" s="77" t="s">
        <v>304</v>
      </c>
      <c r="D167" s="51" t="s">
        <v>50</v>
      </c>
      <c r="E167" s="51" t="s">
        <v>307</v>
      </c>
      <c r="F167" s="51" t="s">
        <v>18</v>
      </c>
      <c r="G167" s="52">
        <v>0.2</v>
      </c>
      <c r="H167" s="53">
        <f t="shared" si="16"/>
        <v>46150</v>
      </c>
      <c r="I167" s="53">
        <f t="shared" si="14"/>
        <v>46150</v>
      </c>
      <c r="J167" s="54">
        <f t="shared" si="17"/>
        <v>0.2</v>
      </c>
      <c r="K167" s="102" t="s">
        <v>22</v>
      </c>
    </row>
    <row r="168" spans="1:11" hidden="1">
      <c r="A168" s="51" t="str" cm="1">
        <f t="array" ref="A168">INDEX('Sprint Calendar'!$A:$A, MATCH(1, ('Project Planning (2)'!I202 &gt;= 'Sprint Calendar'!$B:$B) * ('Project Planning (2)'!H202 &lt;= 'Sprint Calendar'!$C:$C), 0))</f>
        <v>Sprint 23</v>
      </c>
      <c r="B168" s="49" t="s">
        <v>274</v>
      </c>
      <c r="C168" s="77" t="s">
        <v>304</v>
      </c>
      <c r="D168" s="51" t="s">
        <v>50</v>
      </c>
      <c r="E168" s="51" t="s">
        <v>308</v>
      </c>
      <c r="F168" s="51" t="s">
        <v>18</v>
      </c>
      <c r="G168" s="52">
        <v>0.5</v>
      </c>
      <c r="H168" s="53">
        <f t="shared" si="16"/>
        <v>46153</v>
      </c>
      <c r="I168" s="53">
        <f t="shared" si="14"/>
        <v>46153</v>
      </c>
      <c r="J168" s="54">
        <f t="shared" si="17"/>
        <v>0.5</v>
      </c>
      <c r="K168" s="102" t="s">
        <v>22</v>
      </c>
    </row>
    <row r="169" spans="1:11" hidden="1">
      <c r="A169" s="51" t="str" cm="1">
        <f t="array" ref="A169">INDEX('Sprint Calendar'!$A:$A, MATCH(1, ('Project Planning (2)'!I206 &gt;= 'Sprint Calendar'!$B:$B) * ('Project Planning (2)'!H206 &lt;= 'Sprint Calendar'!$C:$C), 0))</f>
        <v>Sprint 24</v>
      </c>
      <c r="B169" s="49" t="s">
        <v>274</v>
      </c>
      <c r="C169" s="77" t="s">
        <v>310</v>
      </c>
      <c r="D169" s="51" t="s">
        <v>50</v>
      </c>
      <c r="E169" s="51" t="s">
        <v>313</v>
      </c>
      <c r="F169" s="51" t="s">
        <v>18</v>
      </c>
      <c r="G169" s="52">
        <v>0.2</v>
      </c>
      <c r="H169" s="53">
        <f t="shared" si="16"/>
        <v>46154</v>
      </c>
      <c r="I169" s="53">
        <f t="shared" si="14"/>
        <v>46154</v>
      </c>
      <c r="J169" s="54">
        <f t="shared" si="17"/>
        <v>0.2</v>
      </c>
      <c r="K169" s="102" t="s">
        <v>22</v>
      </c>
    </row>
    <row r="170" spans="1:11" hidden="1">
      <c r="A170" s="51" t="str" cm="1">
        <f t="array" ref="A170">INDEX('Sprint Calendar'!$A:$A, MATCH(1, ('Project Planning (2)'!I207 &gt;= 'Sprint Calendar'!$B:$B) * ('Project Planning (2)'!H207 &lt;= 'Sprint Calendar'!$C:$C), 0))</f>
        <v>Sprint 24</v>
      </c>
      <c r="B170" s="49" t="s">
        <v>274</v>
      </c>
      <c r="C170" s="77" t="s">
        <v>310</v>
      </c>
      <c r="D170" s="51" t="s">
        <v>50</v>
      </c>
      <c r="E170" s="51" t="s">
        <v>315</v>
      </c>
      <c r="F170" s="51" t="s">
        <v>18</v>
      </c>
      <c r="G170" s="52">
        <v>0.5</v>
      </c>
      <c r="H170" s="53">
        <f t="shared" si="16"/>
        <v>46155</v>
      </c>
      <c r="I170" s="53">
        <f t="shared" si="14"/>
        <v>46155</v>
      </c>
      <c r="J170" s="54">
        <f t="shared" si="17"/>
        <v>0.5</v>
      </c>
      <c r="K170" s="102" t="s">
        <v>22</v>
      </c>
    </row>
    <row r="171" spans="1:11" hidden="1">
      <c r="A171" s="51" t="str" cm="1">
        <f t="array" ref="A171">INDEX('Sprint Calendar'!$A:$A, MATCH(1, ('Project Planning (2)'!I211 &gt;= 'Sprint Calendar'!$B:$B) * ('Project Planning (2)'!H211 &lt;= 'Sprint Calendar'!$C:$C), 0))</f>
        <v>Sprint 25</v>
      </c>
      <c r="B171" s="49" t="s">
        <v>274</v>
      </c>
      <c r="C171" s="77" t="s">
        <v>317</v>
      </c>
      <c r="D171" s="51" t="s">
        <v>50</v>
      </c>
      <c r="E171" s="51" t="s">
        <v>320</v>
      </c>
      <c r="F171" s="51" t="s">
        <v>18</v>
      </c>
      <c r="G171" s="52">
        <v>1.5</v>
      </c>
      <c r="H171" s="53">
        <f t="shared" si="16"/>
        <v>46156</v>
      </c>
      <c r="I171" s="53">
        <f t="shared" ref="I171:I202" si="18">WORKDAY(H171,J171)</f>
        <v>46157</v>
      </c>
      <c r="J171" s="54">
        <f t="shared" si="17"/>
        <v>1.5</v>
      </c>
      <c r="K171" s="102" t="s">
        <v>22</v>
      </c>
    </row>
    <row r="172" spans="1:11" hidden="1">
      <c r="A172" s="51" t="str" cm="1">
        <f t="array" ref="A172">INDEX('Sprint Calendar'!$A:$A, MATCH(1, ('Project Planning (2)'!I212 &gt;= 'Sprint Calendar'!$B:$B) * ('Project Planning (2)'!H212 &lt;= 'Sprint Calendar'!$C:$C), 0))</f>
        <v>Sprint 25</v>
      </c>
      <c r="B172" s="49" t="s">
        <v>274</v>
      </c>
      <c r="C172" s="77" t="s">
        <v>317</v>
      </c>
      <c r="D172" s="51" t="s">
        <v>50</v>
      </c>
      <c r="E172" s="51" t="s">
        <v>321</v>
      </c>
      <c r="F172" s="51" t="s">
        <v>18</v>
      </c>
      <c r="G172" s="52">
        <v>2.5</v>
      </c>
      <c r="H172" s="53">
        <f t="shared" si="16"/>
        <v>46160</v>
      </c>
      <c r="I172" s="53">
        <f t="shared" si="18"/>
        <v>46162</v>
      </c>
      <c r="J172" s="54">
        <f t="shared" si="17"/>
        <v>2.5</v>
      </c>
      <c r="K172" s="102" t="s">
        <v>22</v>
      </c>
    </row>
    <row r="173" spans="1:11" hidden="1">
      <c r="A173" s="51" t="s">
        <v>273</v>
      </c>
      <c r="B173" s="49" t="s">
        <v>274</v>
      </c>
      <c r="C173" s="51" t="s">
        <v>45</v>
      </c>
      <c r="D173" s="51" t="s">
        <v>278</v>
      </c>
      <c r="E173" s="51" t="s">
        <v>56</v>
      </c>
      <c r="F173" s="51" t="s">
        <v>18</v>
      </c>
      <c r="G173" s="52">
        <v>3</v>
      </c>
      <c r="H173" s="53">
        <f t="shared" si="16"/>
        <v>46163</v>
      </c>
      <c r="I173" s="53">
        <f t="shared" si="18"/>
        <v>46168</v>
      </c>
      <c r="J173" s="54">
        <f t="shared" si="17"/>
        <v>3</v>
      </c>
      <c r="K173" s="102" t="s">
        <v>9</v>
      </c>
    </row>
    <row r="174" spans="1:11">
      <c r="A174" s="51" t="str" cm="1">
        <f t="array" ref="A174">INDEX('Sprint Calendar'!$A:$A, MATCH(1, ('Project Planning (2)'!I99 &gt;= 'Sprint Calendar'!$B:$B) * ('Project Planning (2)'!H99 &lt;= 'Sprint Calendar'!$C:$C), 0))</f>
        <v>Sprint 2</v>
      </c>
      <c r="B174" s="81" t="s">
        <v>84</v>
      </c>
      <c r="C174" s="51" t="s">
        <v>160</v>
      </c>
      <c r="D174" s="51" t="s">
        <v>50</v>
      </c>
      <c r="E174" s="51" t="s">
        <v>163</v>
      </c>
      <c r="F174" s="51" t="s">
        <v>86</v>
      </c>
      <c r="G174" s="52">
        <v>2</v>
      </c>
      <c r="H174" s="53">
        <f t="shared" si="16"/>
        <v>46169</v>
      </c>
      <c r="I174" s="53">
        <f t="shared" si="18"/>
        <v>46171</v>
      </c>
      <c r="J174" s="54">
        <f t="shared" ref="J174:J190" si="19">G174/$N$7</f>
        <v>2</v>
      </c>
      <c r="K174" s="102" t="s">
        <v>22</v>
      </c>
    </row>
    <row r="175" spans="1:11">
      <c r="A175" s="51" t="str" cm="1">
        <f t="array" ref="A175">INDEX('Sprint Calendar'!$A:$A, MATCH(1, ('Project Planning (2)'!I100 &gt;= 'Sprint Calendar'!$B:$B) * ('Project Planning (2)'!H100 &lt;= 'Sprint Calendar'!$C:$C), 0))</f>
        <v>Sprint 2</v>
      </c>
      <c r="B175" s="81" t="s">
        <v>84</v>
      </c>
      <c r="C175" s="51" t="s">
        <v>160</v>
      </c>
      <c r="D175" s="51" t="s">
        <v>50</v>
      </c>
      <c r="E175" s="51" t="s">
        <v>165</v>
      </c>
      <c r="F175" s="51" t="s">
        <v>86</v>
      </c>
      <c r="G175" s="52">
        <v>5</v>
      </c>
      <c r="H175" s="53">
        <f t="shared" si="16"/>
        <v>46174</v>
      </c>
      <c r="I175" s="53">
        <f t="shared" si="18"/>
        <v>46181</v>
      </c>
      <c r="J175" s="54">
        <f t="shared" si="19"/>
        <v>5</v>
      </c>
      <c r="K175" s="102" t="s">
        <v>22</v>
      </c>
    </row>
    <row r="176" spans="1:11">
      <c r="A176" s="51" t="str" cm="1">
        <f t="array" ref="A176">INDEX('Sprint Calendar'!$A:$A, MATCH(1, ('Project Planning (2)'!I104 &gt;= 'Sprint Calendar'!$B:$B) * ('Project Planning (2)'!H104 &lt;= 'Sprint Calendar'!$C:$C), 0))</f>
        <v>Sprint 4</v>
      </c>
      <c r="B176" s="81" t="s">
        <v>84</v>
      </c>
      <c r="C176" s="51" t="s">
        <v>168</v>
      </c>
      <c r="D176" s="51" t="s">
        <v>50</v>
      </c>
      <c r="E176" s="51" t="s">
        <v>171</v>
      </c>
      <c r="F176" s="51" t="s">
        <v>86</v>
      </c>
      <c r="G176" s="52">
        <v>2</v>
      </c>
      <c r="H176" s="53">
        <f t="shared" si="16"/>
        <v>46182</v>
      </c>
      <c r="I176" s="53">
        <f t="shared" si="18"/>
        <v>46184</v>
      </c>
      <c r="J176" s="54">
        <f t="shared" si="19"/>
        <v>2</v>
      </c>
      <c r="K176" s="102" t="s">
        <v>22</v>
      </c>
    </row>
    <row r="177" spans="1:11">
      <c r="A177" s="51" t="str" cm="1">
        <f t="array" ref="A177">INDEX('Sprint Calendar'!$A:$A, MATCH(1, ('Project Planning (2)'!I105 &gt;= 'Sprint Calendar'!$B:$B) * ('Project Planning (2)'!H105 &lt;= 'Sprint Calendar'!$C:$C), 0))</f>
        <v>Sprint 4</v>
      </c>
      <c r="B177" s="81" t="s">
        <v>84</v>
      </c>
      <c r="C177" s="51" t="s">
        <v>168</v>
      </c>
      <c r="D177" s="51" t="s">
        <v>50</v>
      </c>
      <c r="E177" s="51" t="s">
        <v>173</v>
      </c>
      <c r="F177" s="51" t="s">
        <v>86</v>
      </c>
      <c r="G177" s="52">
        <v>3</v>
      </c>
      <c r="H177" s="53">
        <f t="shared" si="16"/>
        <v>46185</v>
      </c>
      <c r="I177" s="53">
        <f t="shared" si="18"/>
        <v>46190</v>
      </c>
      <c r="J177" s="54">
        <f t="shared" si="19"/>
        <v>3</v>
      </c>
      <c r="K177" s="102" t="s">
        <v>22</v>
      </c>
    </row>
    <row r="178" spans="1:11">
      <c r="A178" s="51" t="str" cm="1">
        <f t="array" ref="A178">INDEX('Sprint Calendar'!$A:$A, MATCH(1, ('Project Planning (2)'!I144 &gt;= 'Sprint Calendar'!$B:$B) * ('Project Planning (2)'!H144 &lt;= 'Sprint Calendar'!$C:$C), 0))</f>
        <v>Sprint 3</v>
      </c>
      <c r="B178" s="81" t="s">
        <v>84</v>
      </c>
      <c r="C178" s="77" t="s">
        <v>219</v>
      </c>
      <c r="D178" s="51" t="s">
        <v>50</v>
      </c>
      <c r="E178" s="51" t="s">
        <v>222</v>
      </c>
      <c r="F178" s="51" t="s">
        <v>86</v>
      </c>
      <c r="G178" s="52">
        <v>3.5</v>
      </c>
      <c r="H178" s="53">
        <f t="shared" si="16"/>
        <v>46191</v>
      </c>
      <c r="I178" s="53">
        <f t="shared" si="18"/>
        <v>46196</v>
      </c>
      <c r="J178" s="54">
        <f t="shared" si="19"/>
        <v>3.5</v>
      </c>
      <c r="K178" s="102" t="s">
        <v>22</v>
      </c>
    </row>
    <row r="179" spans="1:11">
      <c r="A179" s="51" t="str" cm="1">
        <f t="array" ref="A179">INDEX('Sprint Calendar'!$A:$A, MATCH(1, ('Project Planning (2)'!I145 &gt;= 'Sprint Calendar'!$B:$B) * ('Project Planning (2)'!H145 &lt;= 'Sprint Calendar'!$C:$C), 0))</f>
        <v>Sprint 4</v>
      </c>
      <c r="B179" s="81" t="s">
        <v>84</v>
      </c>
      <c r="C179" s="77" t="s">
        <v>219</v>
      </c>
      <c r="D179" s="51" t="s">
        <v>50</v>
      </c>
      <c r="E179" s="51" t="s">
        <v>223</v>
      </c>
      <c r="F179" s="51" t="s">
        <v>86</v>
      </c>
      <c r="G179" s="52">
        <v>4</v>
      </c>
      <c r="H179" s="53">
        <f t="shared" si="16"/>
        <v>46197</v>
      </c>
      <c r="I179" s="53">
        <f t="shared" si="18"/>
        <v>46203</v>
      </c>
      <c r="J179" s="54">
        <f t="shared" si="19"/>
        <v>4</v>
      </c>
      <c r="K179" s="102" t="s">
        <v>22</v>
      </c>
    </row>
    <row r="180" spans="1:11">
      <c r="A180" s="51" t="str" cm="1">
        <f t="array" ref="A180">INDEX('Sprint Calendar'!$A:$A, MATCH(1, ('Project Planning (2)'!I149 &gt;= 'Sprint Calendar'!$B:$B) * ('Project Planning (2)'!H149 &lt;= 'Sprint Calendar'!$C:$C), 0))</f>
        <v>Sprint 6</v>
      </c>
      <c r="B180" s="81" t="s">
        <v>84</v>
      </c>
      <c r="C180" s="77" t="s">
        <v>225</v>
      </c>
      <c r="D180" s="51" t="s">
        <v>50</v>
      </c>
      <c r="E180" s="51" t="s">
        <v>228</v>
      </c>
      <c r="F180" s="51" t="s">
        <v>86</v>
      </c>
      <c r="G180" s="52">
        <v>2.5</v>
      </c>
      <c r="H180" s="53">
        <f t="shared" si="16"/>
        <v>46204</v>
      </c>
      <c r="I180" s="53">
        <f t="shared" si="18"/>
        <v>46206</v>
      </c>
      <c r="J180" s="54">
        <f t="shared" si="19"/>
        <v>2.5</v>
      </c>
      <c r="K180" s="102" t="s">
        <v>22</v>
      </c>
    </row>
    <row r="181" spans="1:11">
      <c r="A181" s="51" t="str" cm="1">
        <f t="array" ref="A181">INDEX('Sprint Calendar'!$A:$A, MATCH(1, ('Project Planning (2)'!I150 &gt;= 'Sprint Calendar'!$B:$B) * ('Project Planning (2)'!H150 &lt;= 'Sprint Calendar'!$C:$C), 0))</f>
        <v>Sprint 6</v>
      </c>
      <c r="B181" s="81" t="s">
        <v>84</v>
      </c>
      <c r="C181" s="77" t="s">
        <v>225</v>
      </c>
      <c r="D181" s="51" t="s">
        <v>50</v>
      </c>
      <c r="E181" s="51" t="s">
        <v>229</v>
      </c>
      <c r="F181" s="51" t="s">
        <v>86</v>
      </c>
      <c r="G181" s="52">
        <v>4.5</v>
      </c>
      <c r="H181" s="53">
        <f t="shared" si="16"/>
        <v>46209</v>
      </c>
      <c r="I181" s="53">
        <f t="shared" si="18"/>
        <v>46213</v>
      </c>
      <c r="J181" s="54">
        <f t="shared" si="19"/>
        <v>4.5</v>
      </c>
      <c r="K181" s="102" t="s">
        <v>22</v>
      </c>
    </row>
    <row r="182" spans="1:11">
      <c r="A182" s="51" t="str" cm="1">
        <f t="array" ref="A182">INDEX('Sprint Calendar'!$A:$A, MATCH(1, ('Project Planning (2)'!I154 &gt;= 'Sprint Calendar'!$B:$B) * ('Project Planning (2)'!H154 &lt;= 'Sprint Calendar'!$C:$C), 0))</f>
        <v>Sprint 8</v>
      </c>
      <c r="B182" s="81" t="s">
        <v>84</v>
      </c>
      <c r="C182" s="77" t="s">
        <v>231</v>
      </c>
      <c r="D182" s="51" t="s">
        <v>50</v>
      </c>
      <c r="E182" s="51" t="s">
        <v>234</v>
      </c>
      <c r="F182" s="51" t="s">
        <v>86</v>
      </c>
      <c r="G182" s="52">
        <v>1</v>
      </c>
      <c r="H182" s="53">
        <f t="shared" si="16"/>
        <v>46216</v>
      </c>
      <c r="I182" s="53">
        <f t="shared" si="18"/>
        <v>46217</v>
      </c>
      <c r="J182" s="54">
        <f t="shared" si="19"/>
        <v>1</v>
      </c>
      <c r="K182" s="102" t="s">
        <v>22</v>
      </c>
    </row>
    <row r="183" spans="1:11">
      <c r="A183" s="51" t="str" cm="1">
        <f t="array" ref="A183">INDEX('Sprint Calendar'!$A:$A, MATCH(1, ('Project Planning (2)'!I155 &gt;= 'Sprint Calendar'!$B:$B) * ('Project Planning (2)'!H155 &lt;= 'Sprint Calendar'!$C:$C), 0))</f>
        <v>Sprint 8</v>
      </c>
      <c r="B183" s="81" t="s">
        <v>84</v>
      </c>
      <c r="C183" s="77" t="s">
        <v>231</v>
      </c>
      <c r="D183" s="51" t="s">
        <v>50</v>
      </c>
      <c r="E183" s="51" t="s">
        <v>235</v>
      </c>
      <c r="F183" s="51" t="s">
        <v>86</v>
      </c>
      <c r="G183" s="52">
        <v>2</v>
      </c>
      <c r="H183" s="53">
        <f t="shared" si="16"/>
        <v>46218</v>
      </c>
      <c r="I183" s="53">
        <f t="shared" si="18"/>
        <v>46220</v>
      </c>
      <c r="J183" s="54">
        <f t="shared" si="19"/>
        <v>2</v>
      </c>
      <c r="K183" s="102" t="s">
        <v>22</v>
      </c>
    </row>
    <row r="184" spans="1:11">
      <c r="A184" s="51" t="str" cm="1">
        <f t="array" ref="A184">INDEX('Sprint Calendar'!$A:$A, MATCH(1, ('Project Planning (2)'!I159 &gt;= 'Sprint Calendar'!$B:$B) * ('Project Planning (2)'!H159 &lt;= 'Sprint Calendar'!$C:$C), 0))</f>
        <v>Sprint 10</v>
      </c>
      <c r="B184" s="81" t="s">
        <v>84</v>
      </c>
      <c r="C184" s="77" t="s">
        <v>237</v>
      </c>
      <c r="D184" s="51" t="s">
        <v>50</v>
      </c>
      <c r="E184" s="51" t="s">
        <v>240</v>
      </c>
      <c r="F184" s="51" t="s">
        <v>86</v>
      </c>
      <c r="G184" s="52">
        <v>3</v>
      </c>
      <c r="H184" s="53">
        <f t="shared" si="16"/>
        <v>46223</v>
      </c>
      <c r="I184" s="53">
        <f t="shared" si="18"/>
        <v>46226</v>
      </c>
      <c r="J184" s="54">
        <f t="shared" si="19"/>
        <v>3</v>
      </c>
      <c r="K184" s="102" t="s">
        <v>22</v>
      </c>
    </row>
    <row r="185" spans="1:11">
      <c r="A185" s="51" t="str" cm="1">
        <f t="array" ref="A185">INDEX('Sprint Calendar'!$A:$A, MATCH(1, ('Project Planning (2)'!I160 &gt;= 'Sprint Calendar'!$B:$B) * ('Project Planning (2)'!H160 &lt;= 'Sprint Calendar'!$C:$C), 0))</f>
        <v>Sprint 10</v>
      </c>
      <c r="B185" s="81" t="s">
        <v>84</v>
      </c>
      <c r="C185" s="77" t="s">
        <v>237</v>
      </c>
      <c r="D185" s="51" t="s">
        <v>50</v>
      </c>
      <c r="E185" s="51" t="s">
        <v>241</v>
      </c>
      <c r="F185" s="51" t="s">
        <v>86</v>
      </c>
      <c r="G185" s="52">
        <v>4</v>
      </c>
      <c r="H185" s="53">
        <f t="shared" si="16"/>
        <v>46227</v>
      </c>
      <c r="I185" s="53">
        <f t="shared" si="18"/>
        <v>46233</v>
      </c>
      <c r="J185" s="54">
        <f t="shared" si="19"/>
        <v>4</v>
      </c>
      <c r="K185" s="102" t="s">
        <v>22</v>
      </c>
    </row>
    <row r="186" spans="1:11">
      <c r="A186" s="51" t="str" cm="1">
        <f t="array" ref="A186">INDEX('Sprint Calendar'!$A:$A, MATCH(1, ('Project Planning (2)'!I164 &gt;= 'Sprint Calendar'!$B:$B) * ('Project Planning (2)'!H164 &lt;= 'Sprint Calendar'!$C:$C), 0))</f>
        <v>Sprint 11</v>
      </c>
      <c r="B186" s="81" t="s">
        <v>84</v>
      </c>
      <c r="C186" s="77" t="s">
        <v>243</v>
      </c>
      <c r="D186" s="51" t="s">
        <v>50</v>
      </c>
      <c r="E186" s="51" t="s">
        <v>246</v>
      </c>
      <c r="F186" s="51" t="s">
        <v>86</v>
      </c>
      <c r="G186" s="52">
        <v>2</v>
      </c>
      <c r="H186" s="53">
        <f t="shared" si="16"/>
        <v>46234</v>
      </c>
      <c r="I186" s="53">
        <f t="shared" si="18"/>
        <v>46238</v>
      </c>
      <c r="J186" s="54">
        <f t="shared" si="19"/>
        <v>2</v>
      </c>
      <c r="K186" s="102" t="s">
        <v>22</v>
      </c>
    </row>
    <row r="187" spans="1:11">
      <c r="A187" s="51" t="str" cm="1">
        <f t="array" ref="A187">INDEX('Sprint Calendar'!$A:$A, MATCH(1, ('Project Planning (2)'!I165 &gt;= 'Sprint Calendar'!$B:$B) * ('Project Planning (2)'!H165 &lt;= 'Sprint Calendar'!$C:$C), 0))</f>
        <v>Sprint 12</v>
      </c>
      <c r="B187" s="81" t="s">
        <v>84</v>
      </c>
      <c r="C187" s="77" t="s">
        <v>243</v>
      </c>
      <c r="D187" s="51" t="s">
        <v>50</v>
      </c>
      <c r="E187" s="51" t="s">
        <v>247</v>
      </c>
      <c r="F187" s="51" t="s">
        <v>86</v>
      </c>
      <c r="G187" s="52">
        <v>2</v>
      </c>
      <c r="H187" s="53">
        <f t="shared" si="16"/>
        <v>46239</v>
      </c>
      <c r="I187" s="53">
        <f t="shared" si="18"/>
        <v>46241</v>
      </c>
      <c r="J187" s="54">
        <f t="shared" si="19"/>
        <v>2</v>
      </c>
      <c r="K187" s="102" t="s">
        <v>22</v>
      </c>
    </row>
    <row r="188" spans="1:11">
      <c r="A188" s="51" t="str" cm="1">
        <f t="array" ref="A188">INDEX('Sprint Calendar'!$A:$A, MATCH(1, ('Project Planning (2)'!I169 &gt;= 'Sprint Calendar'!$B:$B) * ('Project Planning (2)'!H169 &lt;= 'Sprint Calendar'!$C:$C), 0))</f>
        <v>Sprint 13</v>
      </c>
      <c r="B188" s="81" t="s">
        <v>84</v>
      </c>
      <c r="C188" s="77" t="s">
        <v>249</v>
      </c>
      <c r="D188" s="51" t="s">
        <v>50</v>
      </c>
      <c r="E188" s="51" t="s">
        <v>252</v>
      </c>
      <c r="F188" s="51" t="s">
        <v>86</v>
      </c>
      <c r="G188" s="52">
        <v>1</v>
      </c>
      <c r="H188" s="53">
        <f t="shared" si="16"/>
        <v>46244</v>
      </c>
      <c r="I188" s="53">
        <f t="shared" si="18"/>
        <v>46245</v>
      </c>
      <c r="J188" s="54">
        <f t="shared" si="19"/>
        <v>1</v>
      </c>
      <c r="K188" s="102" t="s">
        <v>22</v>
      </c>
    </row>
    <row r="189" spans="1:11">
      <c r="A189" s="51" t="str" cm="1">
        <f t="array" ref="A189">INDEX('Sprint Calendar'!$A:$A, MATCH(1, ('Project Planning (2)'!I170 &gt;= 'Sprint Calendar'!$B:$B) * ('Project Planning (2)'!H170 &lt;= 'Sprint Calendar'!$C:$C), 0))</f>
        <v>Sprint 13</v>
      </c>
      <c r="B189" s="81" t="s">
        <v>84</v>
      </c>
      <c r="C189" s="77" t="s">
        <v>249</v>
      </c>
      <c r="D189" s="51" t="s">
        <v>50</v>
      </c>
      <c r="E189" s="51" t="s">
        <v>253</v>
      </c>
      <c r="F189" s="51" t="s">
        <v>86</v>
      </c>
      <c r="G189" s="52">
        <v>4</v>
      </c>
      <c r="H189" s="53">
        <f t="shared" si="16"/>
        <v>46246</v>
      </c>
      <c r="I189" s="53">
        <f t="shared" si="18"/>
        <v>46252</v>
      </c>
      <c r="J189" s="54">
        <f t="shared" si="19"/>
        <v>4</v>
      </c>
      <c r="K189" s="102" t="s">
        <v>22</v>
      </c>
    </row>
    <row r="190" spans="1:11" ht="13.5">
      <c r="A190" s="51" t="str" cm="1">
        <f t="array" ref="A190">INDEX('Sprint Calendar'!$A:$A, MATCH(1, ('Project Planning (2)'!I174 &gt;= 'Sprint Calendar'!$B:$B) * ('Project Planning (2)'!H174 &lt;= 'Sprint Calendar'!$C:$C), 0))</f>
        <v>Sprint 14</v>
      </c>
      <c r="B190" s="81" t="s">
        <v>84</v>
      </c>
      <c r="C190" s="77" t="s">
        <v>255</v>
      </c>
      <c r="D190" s="51" t="s">
        <v>50</v>
      </c>
      <c r="E190" s="77" t="s">
        <v>258</v>
      </c>
      <c r="F190" s="51" t="s">
        <v>86</v>
      </c>
      <c r="G190" s="52">
        <v>3</v>
      </c>
      <c r="H190" s="53">
        <f t="shared" si="16"/>
        <v>46253</v>
      </c>
      <c r="I190" s="53">
        <f t="shared" si="18"/>
        <v>46258</v>
      </c>
      <c r="J190" s="54">
        <f t="shared" si="19"/>
        <v>3</v>
      </c>
      <c r="K190" s="102" t="s">
        <v>22</v>
      </c>
    </row>
    <row r="191" spans="1:11">
      <c r="A191" s="80" t="str" cm="1">
        <f t="array" ref="A191">INDEX('Sprint Calendar'!$A:$A, MATCH(1, ('Project Planning (2)'!I46 &gt;= 'Sprint Calendar'!$B:$B) * ('Project Planning (2)'!H46 &lt;= 'Sprint Calendar'!$C:$C), 0))</f>
        <v>Sprint 12</v>
      </c>
      <c r="B191" s="91" t="s">
        <v>84</v>
      </c>
      <c r="C191" s="79" t="s">
        <v>87</v>
      </c>
      <c r="D191" s="80" t="s">
        <v>278</v>
      </c>
      <c r="E191" s="80" t="s">
        <v>92</v>
      </c>
      <c r="F191" s="80" t="s">
        <v>278</v>
      </c>
      <c r="G191" s="109">
        <v>2</v>
      </c>
      <c r="H191" s="92">
        <v>46258</v>
      </c>
      <c r="I191" s="92">
        <f t="shared" si="18"/>
        <v>46260</v>
      </c>
      <c r="J191" s="110">
        <f t="shared" ref="J191:J207" si="20">G191/$N$6</f>
        <v>2</v>
      </c>
      <c r="K191" s="93" t="s">
        <v>22</v>
      </c>
    </row>
    <row r="192" spans="1:11">
      <c r="A192" s="80" t="str" cm="1">
        <f t="array" ref="A192">INDEX('Sprint Calendar'!$A:$A, MATCH(1, ('Project Planning (2)'!I51 &gt;= 'Sprint Calendar'!$B:$B) * ('Project Planning (2)'!H51 &lt;= 'Sprint Calendar'!$C:$C), 0))</f>
        <v>Sprint 14</v>
      </c>
      <c r="B192" s="91" t="s">
        <v>84</v>
      </c>
      <c r="C192" s="79" t="s">
        <v>93</v>
      </c>
      <c r="D192" s="80" t="s">
        <v>278</v>
      </c>
      <c r="E192" s="80" t="s">
        <v>101</v>
      </c>
      <c r="F192" s="80" t="s">
        <v>278</v>
      </c>
      <c r="G192" s="109">
        <v>2</v>
      </c>
      <c r="H192" s="92">
        <f t="shared" ref="H192:H207" si="21">WORKDAY(I191,1)</f>
        <v>46261</v>
      </c>
      <c r="I192" s="92">
        <f t="shared" si="18"/>
        <v>46265</v>
      </c>
      <c r="J192" s="110">
        <f t="shared" si="20"/>
        <v>2</v>
      </c>
      <c r="K192" s="93" t="s">
        <v>22</v>
      </c>
    </row>
    <row r="193" spans="1:11">
      <c r="A193" s="80" t="str" cm="1">
        <f t="array" ref="A193">INDEX('Sprint Calendar'!$A:$A, MATCH(1, ('Project Planning (2)'!I146 &gt;= 'Sprint Calendar'!$B:$B) * ('Project Planning (2)'!H146 &lt;= 'Sprint Calendar'!$C:$C), 0))</f>
        <v>Sprint 4</v>
      </c>
      <c r="B193" s="91" t="s">
        <v>84</v>
      </c>
      <c r="C193" s="79" t="s">
        <v>219</v>
      </c>
      <c r="D193" s="80" t="s">
        <v>278</v>
      </c>
      <c r="E193" s="80" t="s">
        <v>224</v>
      </c>
      <c r="F193" s="80" t="s">
        <v>278</v>
      </c>
      <c r="G193" s="109">
        <v>1.5</v>
      </c>
      <c r="H193" s="92">
        <f t="shared" si="21"/>
        <v>46266</v>
      </c>
      <c r="I193" s="92">
        <f t="shared" si="18"/>
        <v>46267</v>
      </c>
      <c r="J193" s="110">
        <f t="shared" si="20"/>
        <v>1.5</v>
      </c>
      <c r="K193" s="93" t="s">
        <v>22</v>
      </c>
    </row>
    <row r="194" spans="1:11">
      <c r="A194" s="80" t="str" cm="1">
        <f t="array" ref="A194">INDEX('Sprint Calendar'!$A:$A, MATCH(1, ('Project Planning (2)'!I151 &gt;= 'Sprint Calendar'!$B:$B) * ('Project Planning (2)'!H151 &lt;= 'Sprint Calendar'!$C:$C), 0))</f>
        <v>Sprint 7</v>
      </c>
      <c r="B194" s="91" t="s">
        <v>84</v>
      </c>
      <c r="C194" s="79" t="s">
        <v>225</v>
      </c>
      <c r="D194" s="80" t="s">
        <v>278</v>
      </c>
      <c r="E194" s="80" t="s">
        <v>230</v>
      </c>
      <c r="F194" s="80" t="s">
        <v>278</v>
      </c>
      <c r="G194" s="109">
        <v>2</v>
      </c>
      <c r="H194" s="92">
        <f t="shared" si="21"/>
        <v>46268</v>
      </c>
      <c r="I194" s="92">
        <f t="shared" si="18"/>
        <v>46272</v>
      </c>
      <c r="J194" s="110">
        <f t="shared" si="20"/>
        <v>2</v>
      </c>
      <c r="K194" s="93" t="s">
        <v>22</v>
      </c>
    </row>
    <row r="195" spans="1:11">
      <c r="A195" s="80" t="str" cm="1">
        <f t="array" ref="A195">INDEX('Sprint Calendar'!$A:$A, MATCH(1, ('Project Planning (2)'!I156 &gt;= 'Sprint Calendar'!$B:$B) * ('Project Planning (2)'!H156 &lt;= 'Sprint Calendar'!$C:$C), 0))</f>
        <v>Sprint 8</v>
      </c>
      <c r="B195" s="91" t="s">
        <v>84</v>
      </c>
      <c r="C195" s="79" t="s">
        <v>231</v>
      </c>
      <c r="D195" s="80" t="s">
        <v>278</v>
      </c>
      <c r="E195" s="80" t="s">
        <v>236</v>
      </c>
      <c r="F195" s="80" t="s">
        <v>278</v>
      </c>
      <c r="G195" s="109">
        <v>1</v>
      </c>
      <c r="H195" s="92">
        <f t="shared" si="21"/>
        <v>46273</v>
      </c>
      <c r="I195" s="92">
        <f t="shared" si="18"/>
        <v>46274</v>
      </c>
      <c r="J195" s="110">
        <f t="shared" si="20"/>
        <v>1</v>
      </c>
      <c r="K195" s="93" t="s">
        <v>22</v>
      </c>
    </row>
    <row r="196" spans="1:11">
      <c r="A196" s="80" t="str" cm="1">
        <f t="array" ref="A196">INDEX('Sprint Calendar'!$A:$A, MATCH(1, ('Project Planning (2)'!I161 &gt;= 'Sprint Calendar'!$B:$B) * ('Project Planning (2)'!H161 &lt;= 'Sprint Calendar'!$C:$C), 0))</f>
        <v>Sprint 10</v>
      </c>
      <c r="B196" s="91" t="s">
        <v>84</v>
      </c>
      <c r="C196" s="79" t="s">
        <v>237</v>
      </c>
      <c r="D196" s="80" t="s">
        <v>278</v>
      </c>
      <c r="E196" s="80" t="s">
        <v>242</v>
      </c>
      <c r="F196" s="80" t="s">
        <v>278</v>
      </c>
      <c r="G196" s="109">
        <v>2</v>
      </c>
      <c r="H196" s="92">
        <f t="shared" si="21"/>
        <v>46275</v>
      </c>
      <c r="I196" s="92">
        <f t="shared" si="18"/>
        <v>46279</v>
      </c>
      <c r="J196" s="110">
        <f t="shared" si="20"/>
        <v>2</v>
      </c>
      <c r="K196" s="93" t="s">
        <v>22</v>
      </c>
    </row>
    <row r="197" spans="1:11">
      <c r="A197" s="80" t="str" cm="1">
        <f t="array" ref="A197">INDEX('Sprint Calendar'!$A:$A, MATCH(1, ('Project Planning (2)'!I166 &gt;= 'Sprint Calendar'!$B:$B) * ('Project Planning (2)'!H166 &lt;= 'Sprint Calendar'!$C:$C), 0))</f>
        <v>Sprint 12</v>
      </c>
      <c r="B197" s="91" t="s">
        <v>84</v>
      </c>
      <c r="C197" s="79" t="s">
        <v>243</v>
      </c>
      <c r="D197" s="80" t="s">
        <v>278</v>
      </c>
      <c r="E197" s="80" t="s">
        <v>248</v>
      </c>
      <c r="F197" s="80" t="s">
        <v>278</v>
      </c>
      <c r="G197" s="109">
        <v>1</v>
      </c>
      <c r="H197" s="92">
        <f t="shared" si="21"/>
        <v>46280</v>
      </c>
      <c r="I197" s="92">
        <f t="shared" si="18"/>
        <v>46281</v>
      </c>
      <c r="J197" s="110">
        <f t="shared" si="20"/>
        <v>1</v>
      </c>
      <c r="K197" s="93" t="s">
        <v>22</v>
      </c>
    </row>
    <row r="198" spans="1:11">
      <c r="A198" s="80" t="str" cm="1">
        <f t="array" ref="A198">INDEX('Sprint Calendar'!$A:$A, MATCH(1, ('Project Planning (2)'!I171 &gt;= 'Sprint Calendar'!$B:$B) * ('Project Planning (2)'!H171 &lt;= 'Sprint Calendar'!$C:$C), 0))</f>
        <v>Sprint 13</v>
      </c>
      <c r="B198" s="91" t="s">
        <v>84</v>
      </c>
      <c r="C198" s="79" t="s">
        <v>249</v>
      </c>
      <c r="D198" s="80" t="s">
        <v>278</v>
      </c>
      <c r="E198" s="80" t="s">
        <v>254</v>
      </c>
      <c r="F198" s="80" t="s">
        <v>278</v>
      </c>
      <c r="G198" s="109">
        <v>1</v>
      </c>
      <c r="H198" s="92">
        <f t="shared" si="21"/>
        <v>46282</v>
      </c>
      <c r="I198" s="92">
        <f t="shared" si="18"/>
        <v>46283</v>
      </c>
      <c r="J198" s="110">
        <f t="shared" si="20"/>
        <v>1</v>
      </c>
      <c r="K198" s="93" t="s">
        <v>22</v>
      </c>
    </row>
    <row r="199" spans="1:11" ht="13.5">
      <c r="A199" s="80" t="str" cm="1">
        <f t="array" ref="A199">INDEX('Sprint Calendar'!$A:$A, MATCH(1, ('Project Planning (2)'!I175 &gt;= 'Sprint Calendar'!$B:$B) * ('Project Planning (2)'!H175 &lt;= 'Sprint Calendar'!$C:$C), 0))</f>
        <v>Sprint 14</v>
      </c>
      <c r="B199" s="91" t="s">
        <v>84</v>
      </c>
      <c r="C199" s="79" t="s">
        <v>255</v>
      </c>
      <c r="D199" s="80" t="s">
        <v>278</v>
      </c>
      <c r="E199" s="79" t="s">
        <v>259</v>
      </c>
      <c r="F199" s="80" t="s">
        <v>278</v>
      </c>
      <c r="G199" s="109">
        <v>1</v>
      </c>
      <c r="H199" s="92">
        <f t="shared" si="21"/>
        <v>46286</v>
      </c>
      <c r="I199" s="92">
        <f t="shared" si="18"/>
        <v>46287</v>
      </c>
      <c r="J199" s="110">
        <f t="shared" si="20"/>
        <v>1</v>
      </c>
      <c r="K199" s="93" t="s">
        <v>22</v>
      </c>
    </row>
    <row r="200" spans="1:11">
      <c r="A200" s="80" t="str" cm="1">
        <f t="array" ref="A200">INDEX('Sprint Calendar'!$A:$A, MATCH(1, ('Project Planning (2)'!I41 &gt;= 'Sprint Calendar'!$B:$B) * ('Project Planning (2)'!H41 &lt;= 'Sprint Calendar'!$C:$C), 0))</f>
        <v>Sprint 11</v>
      </c>
      <c r="B200" s="91" t="s">
        <v>84</v>
      </c>
      <c r="C200" s="80" t="s">
        <v>45</v>
      </c>
      <c r="D200" s="80" t="s">
        <v>278</v>
      </c>
      <c r="E200" s="80" t="s">
        <v>56</v>
      </c>
      <c r="F200" s="80" t="s">
        <v>278</v>
      </c>
      <c r="G200" s="109">
        <v>3</v>
      </c>
      <c r="H200" s="92">
        <f t="shared" si="21"/>
        <v>46288</v>
      </c>
      <c r="I200" s="92">
        <f t="shared" si="18"/>
        <v>46293</v>
      </c>
      <c r="J200" s="110">
        <f t="shared" si="20"/>
        <v>3</v>
      </c>
      <c r="K200" s="93" t="s">
        <v>22</v>
      </c>
    </row>
    <row r="201" spans="1:11">
      <c r="A201" s="80" t="str" cm="1">
        <f t="array" ref="A201">INDEX('Sprint Calendar'!$A:$A, MATCH(1, ('Project Planning (2)'!I76 &gt;= 'Sprint Calendar'!$B:$B) * ('Project Planning (2)'!H76 &lt;= 'Sprint Calendar'!$C:$C), 0))</f>
        <v>Sprint 19</v>
      </c>
      <c r="B201" s="91" t="s">
        <v>84</v>
      </c>
      <c r="C201" s="80" t="s">
        <v>126</v>
      </c>
      <c r="D201" s="80" t="s">
        <v>278</v>
      </c>
      <c r="E201" s="80" t="s">
        <v>131</v>
      </c>
      <c r="F201" s="80" t="s">
        <v>278</v>
      </c>
      <c r="G201" s="109">
        <v>1</v>
      </c>
      <c r="H201" s="92">
        <f t="shared" si="21"/>
        <v>46294</v>
      </c>
      <c r="I201" s="92">
        <f t="shared" si="18"/>
        <v>46295</v>
      </c>
      <c r="J201" s="110">
        <f t="shared" si="20"/>
        <v>1</v>
      </c>
      <c r="K201" s="93" t="s">
        <v>22</v>
      </c>
    </row>
    <row r="202" spans="1:11">
      <c r="A202" s="80" t="str" cm="1">
        <f t="array" ref="A202">INDEX('Sprint Calendar'!$A:$A, MATCH(1, ('Project Planning (2)'!I81 &gt;= 'Sprint Calendar'!$B:$B) * ('Project Planning (2)'!H81 &lt;= 'Sprint Calendar'!$C:$C), 0))</f>
        <v>Sprint 20</v>
      </c>
      <c r="B202" s="91" t="s">
        <v>84</v>
      </c>
      <c r="C202" s="80" t="s">
        <v>132</v>
      </c>
      <c r="D202" s="80" t="s">
        <v>278</v>
      </c>
      <c r="E202" s="80" t="s">
        <v>137</v>
      </c>
      <c r="F202" s="80" t="s">
        <v>278</v>
      </c>
      <c r="G202" s="109">
        <v>1</v>
      </c>
      <c r="H202" s="92">
        <f t="shared" si="21"/>
        <v>46296</v>
      </c>
      <c r="I202" s="92">
        <f t="shared" si="18"/>
        <v>46297</v>
      </c>
      <c r="J202" s="110">
        <f t="shared" si="20"/>
        <v>1</v>
      </c>
      <c r="K202" s="93" t="s">
        <v>22</v>
      </c>
    </row>
    <row r="203" spans="1:11">
      <c r="A203" s="80" t="str" cm="1">
        <f t="array" ref="A203">INDEX('Sprint Calendar'!$A:$A, MATCH(1, ('Project Planning (2)'!I86 &gt;= 'Sprint Calendar'!$B:$B) * ('Project Planning (2)'!H86 &lt;= 'Sprint Calendar'!$C:$C), 0))</f>
        <v>Sprint 20</v>
      </c>
      <c r="B203" s="91" t="s">
        <v>84</v>
      </c>
      <c r="C203" s="80" t="s">
        <v>138</v>
      </c>
      <c r="D203" s="80" t="s">
        <v>278</v>
      </c>
      <c r="E203" s="80" t="s">
        <v>143</v>
      </c>
      <c r="F203" s="80" t="s">
        <v>278</v>
      </c>
      <c r="G203" s="109">
        <v>1</v>
      </c>
      <c r="H203" s="92">
        <f t="shared" si="21"/>
        <v>46300</v>
      </c>
      <c r="I203" s="92">
        <f t="shared" ref="I203:I207" si="22">WORKDAY(H203,J203)</f>
        <v>46301</v>
      </c>
      <c r="J203" s="110">
        <f t="shared" si="20"/>
        <v>1</v>
      </c>
      <c r="K203" s="93" t="s">
        <v>22</v>
      </c>
    </row>
    <row r="204" spans="1:11">
      <c r="A204" s="80" t="str" cm="1">
        <f t="array" ref="A204">INDEX('Sprint Calendar'!$A:$A, MATCH(1, ('Project Planning (2)'!I91 &gt;= 'Sprint Calendar'!$B:$B) * ('Project Planning (2)'!H91 &lt;= 'Sprint Calendar'!$C:$C), 0))</f>
        <v>Sprint 21</v>
      </c>
      <c r="B204" s="91" t="s">
        <v>84</v>
      </c>
      <c r="C204" s="80" t="s">
        <v>144</v>
      </c>
      <c r="D204" s="80" t="s">
        <v>278</v>
      </c>
      <c r="E204" s="80" t="s">
        <v>150</v>
      </c>
      <c r="F204" s="80" t="s">
        <v>278</v>
      </c>
      <c r="G204" s="109">
        <v>2</v>
      </c>
      <c r="H204" s="92">
        <f t="shared" si="21"/>
        <v>46302</v>
      </c>
      <c r="I204" s="92">
        <f t="shared" si="22"/>
        <v>46304</v>
      </c>
      <c r="J204" s="110">
        <f t="shared" si="20"/>
        <v>2</v>
      </c>
      <c r="K204" s="93" t="s">
        <v>22</v>
      </c>
    </row>
    <row r="205" spans="1:11">
      <c r="A205" s="80" t="str" cm="1">
        <f t="array" ref="A205">INDEX('Sprint Calendar'!$A:$A, MATCH(1, ('Project Planning (2)'!I96 &gt;= 'Sprint Calendar'!$B:$B) * ('Project Planning (2)'!H96 &lt;= 'Sprint Calendar'!$C:$C), 0))</f>
        <v>Sprint 2</v>
      </c>
      <c r="B205" s="91" t="s">
        <v>84</v>
      </c>
      <c r="C205" s="80" t="s">
        <v>152</v>
      </c>
      <c r="D205" s="80" t="s">
        <v>278</v>
      </c>
      <c r="E205" s="80" t="s">
        <v>158</v>
      </c>
      <c r="F205" s="80" t="s">
        <v>278</v>
      </c>
      <c r="G205" s="109">
        <v>1</v>
      </c>
      <c r="H205" s="92">
        <f t="shared" si="21"/>
        <v>46307</v>
      </c>
      <c r="I205" s="92">
        <f t="shared" si="22"/>
        <v>46308</v>
      </c>
      <c r="J205" s="110">
        <f t="shared" si="20"/>
        <v>1</v>
      </c>
      <c r="K205" s="93" t="s">
        <v>22</v>
      </c>
    </row>
    <row r="206" spans="1:11">
      <c r="A206" s="80" t="str" cm="1">
        <f t="array" ref="A206">INDEX('Sprint Calendar'!$A:$A, MATCH(1, ('Project Planning (2)'!I101 &gt;= 'Sprint Calendar'!$B:$B) * ('Project Planning (2)'!H101 &lt;= 'Sprint Calendar'!$C:$C), 0))</f>
        <v>Sprint 2</v>
      </c>
      <c r="B206" s="91" t="s">
        <v>84</v>
      </c>
      <c r="C206" s="80" t="s">
        <v>160</v>
      </c>
      <c r="D206" s="80" t="s">
        <v>278</v>
      </c>
      <c r="E206" s="80" t="s">
        <v>167</v>
      </c>
      <c r="F206" s="80" t="s">
        <v>278</v>
      </c>
      <c r="G206" s="109">
        <v>2</v>
      </c>
      <c r="H206" s="92">
        <f t="shared" si="21"/>
        <v>46309</v>
      </c>
      <c r="I206" s="92">
        <f t="shared" si="22"/>
        <v>46311</v>
      </c>
      <c r="J206" s="110">
        <f t="shared" si="20"/>
        <v>2</v>
      </c>
      <c r="K206" s="93" t="s">
        <v>22</v>
      </c>
    </row>
    <row r="207" spans="1:11">
      <c r="A207" s="80" t="str" cm="1">
        <f t="array" ref="A207">INDEX('Sprint Calendar'!$A:$A, MATCH(1, ('Project Planning (2)'!I106 &gt;= 'Sprint Calendar'!$B:$B) * ('Project Planning (2)'!H106 &lt;= 'Sprint Calendar'!$C:$C), 0))</f>
        <v>Sprint 5</v>
      </c>
      <c r="B207" s="91" t="s">
        <v>84</v>
      </c>
      <c r="C207" s="80" t="s">
        <v>168</v>
      </c>
      <c r="D207" s="80" t="s">
        <v>278</v>
      </c>
      <c r="E207" s="80" t="s">
        <v>174</v>
      </c>
      <c r="F207" s="80" t="s">
        <v>278</v>
      </c>
      <c r="G207" s="109">
        <v>1</v>
      </c>
      <c r="H207" s="92">
        <f t="shared" si="21"/>
        <v>46314</v>
      </c>
      <c r="I207" s="92">
        <f t="shared" si="22"/>
        <v>46315</v>
      </c>
      <c r="J207" s="110">
        <f t="shared" si="20"/>
        <v>1</v>
      </c>
      <c r="K207" s="93" t="s">
        <v>22</v>
      </c>
    </row>
    <row r="208" spans="1:11" hidden="1">
      <c r="A208" s="51" t="str" cm="1">
        <f t="array" ref="A208">INDEX('Sprint Calendar'!$A:$A, MATCH(1, ('Project Planning (2)'!I188 &gt;= 'Sprint Calendar'!$B:$B) * ('Project Planning (2)'!H188 &lt;= 'Sprint Calendar'!$C:$C), 0))</f>
        <v>Sprint 19</v>
      </c>
      <c r="B208" s="49" t="s">
        <v>274</v>
      </c>
      <c r="C208" s="77" t="s">
        <v>282</v>
      </c>
      <c r="D208" s="51" t="s">
        <v>278</v>
      </c>
      <c r="E208" s="51" t="s">
        <v>288</v>
      </c>
      <c r="F208" s="51" t="s">
        <v>18</v>
      </c>
      <c r="G208" s="52">
        <v>2</v>
      </c>
      <c r="H208" s="53">
        <f t="shared" ref="H208:H213" si="23">WORKDAY(I207,1)</f>
        <v>46316</v>
      </c>
      <c r="I208" s="53">
        <f t="shared" ref="I208:I213" si="24">WORKDAY(H208,J208)</f>
        <v>46318</v>
      </c>
      <c r="J208" s="54">
        <f t="shared" ref="J208:J213" si="25">G208/$N$5</f>
        <v>2</v>
      </c>
      <c r="K208" s="102" t="s">
        <v>22</v>
      </c>
    </row>
    <row r="209" spans="1:11" hidden="1">
      <c r="A209" s="51" t="str" cm="1">
        <f t="array" ref="A209">INDEX('Sprint Calendar'!$A:$A, MATCH(1, ('Project Planning (2)'!I193 &gt;= 'Sprint Calendar'!$B:$B) * ('Project Planning (2)'!H193 &lt;= 'Sprint Calendar'!$C:$C), 0))</f>
        <v>Sprint 21</v>
      </c>
      <c r="B209" s="49" t="s">
        <v>274</v>
      </c>
      <c r="C209" s="77" t="s">
        <v>290</v>
      </c>
      <c r="D209" s="51" t="s">
        <v>278</v>
      </c>
      <c r="E209" s="51" t="s">
        <v>296</v>
      </c>
      <c r="F209" s="51" t="s">
        <v>18</v>
      </c>
      <c r="G209" s="52">
        <v>1</v>
      </c>
      <c r="H209" s="53">
        <f t="shared" si="23"/>
        <v>46321</v>
      </c>
      <c r="I209" s="53">
        <f t="shared" si="24"/>
        <v>46322</v>
      </c>
      <c r="J209" s="54">
        <f t="shared" si="25"/>
        <v>1</v>
      </c>
      <c r="K209" s="102" t="s">
        <v>22</v>
      </c>
    </row>
    <row r="210" spans="1:11" hidden="1">
      <c r="A210" s="51" t="str" cm="1">
        <f t="array" ref="A210">INDEX('Sprint Calendar'!$A:$A, MATCH(1, ('Project Planning (2)'!I198 &gt;= 'Sprint Calendar'!$B:$B) * ('Project Planning (2)'!H198 &lt;= 'Sprint Calendar'!$C:$C), 0))</f>
        <v>Sprint 22</v>
      </c>
      <c r="B210" s="49" t="s">
        <v>274</v>
      </c>
      <c r="C210" s="77" t="s">
        <v>297</v>
      </c>
      <c r="D210" s="51" t="s">
        <v>278</v>
      </c>
      <c r="E210" s="51" t="s">
        <v>303</v>
      </c>
      <c r="F210" s="51" t="s">
        <v>18</v>
      </c>
      <c r="G210" s="52">
        <v>1</v>
      </c>
      <c r="H210" s="53">
        <f t="shared" si="23"/>
        <v>46323</v>
      </c>
      <c r="I210" s="53">
        <f t="shared" si="24"/>
        <v>46324</v>
      </c>
      <c r="J210" s="54">
        <f t="shared" si="25"/>
        <v>1</v>
      </c>
      <c r="K210" s="102" t="s">
        <v>22</v>
      </c>
    </row>
    <row r="211" spans="1:11" hidden="1">
      <c r="A211" s="51" t="str" cm="1">
        <f t="array" ref="A211">INDEX('Sprint Calendar'!$A:$A, MATCH(1, ('Project Planning (2)'!I203 &gt;= 'Sprint Calendar'!$B:$B) * ('Project Planning (2)'!H203 &lt;= 'Sprint Calendar'!$C:$C), 0))</f>
        <v>Sprint 23</v>
      </c>
      <c r="B211" s="49" t="s">
        <v>274</v>
      </c>
      <c r="C211" s="77" t="s">
        <v>304</v>
      </c>
      <c r="D211" s="51" t="s">
        <v>278</v>
      </c>
      <c r="E211" s="51" t="s">
        <v>309</v>
      </c>
      <c r="F211" s="51" t="s">
        <v>18</v>
      </c>
      <c r="G211" s="52">
        <v>0.3</v>
      </c>
      <c r="H211" s="53">
        <f t="shared" si="23"/>
        <v>46325</v>
      </c>
      <c r="I211" s="53">
        <f t="shared" si="24"/>
        <v>46325</v>
      </c>
      <c r="J211" s="54">
        <f t="shared" si="25"/>
        <v>0.3</v>
      </c>
      <c r="K211" s="102" t="s">
        <v>22</v>
      </c>
    </row>
    <row r="212" spans="1:11" hidden="1">
      <c r="A212" s="51" t="str" cm="1">
        <f t="array" ref="A212">INDEX('Sprint Calendar'!$A:$A, MATCH(1, ('Project Planning (2)'!I208 &gt;= 'Sprint Calendar'!$B:$B) * ('Project Planning (2)'!H208 &lt;= 'Sprint Calendar'!$C:$C), 0))</f>
        <v>Sprint 24</v>
      </c>
      <c r="B212" s="49" t="s">
        <v>274</v>
      </c>
      <c r="C212" s="77" t="s">
        <v>310</v>
      </c>
      <c r="D212" s="51" t="s">
        <v>278</v>
      </c>
      <c r="E212" s="51" t="s">
        <v>316</v>
      </c>
      <c r="F212" s="51" t="s">
        <v>18</v>
      </c>
      <c r="G212" s="52">
        <v>0.3</v>
      </c>
      <c r="H212" s="53">
        <f t="shared" si="23"/>
        <v>46328</v>
      </c>
      <c r="I212" s="53">
        <f t="shared" si="24"/>
        <v>46328</v>
      </c>
      <c r="J212" s="54">
        <f t="shared" si="25"/>
        <v>0.3</v>
      </c>
      <c r="K212" s="102" t="s">
        <v>22</v>
      </c>
    </row>
    <row r="213" spans="1:11" hidden="1">
      <c r="A213" s="51" t="str" cm="1">
        <f t="array" ref="A213">INDEX('Sprint Calendar'!$A:$A, MATCH(1, ('Project Planning (2)'!I213 &gt;= 'Sprint Calendar'!$B:$B) * ('Project Planning (2)'!H213 &lt;= 'Sprint Calendar'!$C:$C), 0))</f>
        <v>Sprint 25</v>
      </c>
      <c r="B213" s="49" t="s">
        <v>274</v>
      </c>
      <c r="C213" s="77" t="s">
        <v>317</v>
      </c>
      <c r="D213" s="51" t="s">
        <v>278</v>
      </c>
      <c r="E213" s="51" t="s">
        <v>322</v>
      </c>
      <c r="F213" s="51" t="s">
        <v>18</v>
      </c>
      <c r="G213" s="52">
        <v>1</v>
      </c>
      <c r="H213" s="53">
        <f t="shared" si="23"/>
        <v>46329</v>
      </c>
      <c r="I213" s="53">
        <f t="shared" si="24"/>
        <v>46330</v>
      </c>
      <c r="J213" s="54">
        <f t="shared" si="25"/>
        <v>1</v>
      </c>
      <c r="K213" s="102" t="s">
        <v>22</v>
      </c>
    </row>
    <row r="214" spans="1:11">
      <c r="G214" s="52"/>
    </row>
    <row r="215" spans="1:11">
      <c r="G215" s="52"/>
    </row>
    <row r="216" spans="1:11">
      <c r="G216" s="52"/>
    </row>
    <row r="217" spans="1:11">
      <c r="G217" s="52"/>
    </row>
    <row r="218" spans="1:11">
      <c r="G218" s="52"/>
    </row>
    <row r="219" spans="1:11">
      <c r="G219" s="52"/>
    </row>
    <row r="220" spans="1:11">
      <c r="G220" s="52"/>
    </row>
    <row r="221" spans="1:11">
      <c r="G221" s="52"/>
    </row>
    <row r="222" spans="1:11">
      <c r="G222" s="52"/>
    </row>
    <row r="223" spans="1:11">
      <c r="G223" s="52"/>
    </row>
    <row r="224" spans="1:11">
      <c r="G224" s="52"/>
    </row>
    <row r="225" spans="7:7">
      <c r="G225" s="52"/>
    </row>
    <row r="226" spans="7:7">
      <c r="G226" s="52"/>
    </row>
  </sheetData>
  <autoFilter ref="A8:N213" xr:uid="{34BB96A7-53BD-4507-B62C-6AD24A499E83}">
    <filterColumn colId="1">
      <filters>
        <filter val="Dividend Distribution"/>
        <filter val="Mandate"/>
      </filters>
    </filterColumn>
    <sortState xmlns:xlrd2="http://schemas.microsoft.com/office/spreadsheetml/2017/richdata2" ref="A11:N207">
      <sortCondition ref="F8:F213"/>
    </sortState>
  </autoFilter>
  <mergeCells count="3">
    <mergeCell ref="C1:K1"/>
    <mergeCell ref="I3:I4"/>
    <mergeCell ref="I5:I6"/>
  </mergeCells>
  <phoneticPr fontId="1" type="noConversion"/>
  <dataValidations disablePrompts="1" count="1">
    <dataValidation type="list" allowBlank="1" showInputMessage="1" showErrorMessage="1" sqref="K9:K213" xr:uid="{825A6972-A3BE-44FE-830D-8001B1B84CCB}">
      <formula1>"Not Started,In progress,Completed"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675C-DBC9-4E0A-8488-9B339A71EDF8}">
  <dimension ref="A1:N48"/>
  <sheetViews>
    <sheetView zoomScale="70" zoomScaleNormal="70" workbookViewId="0">
      <selection activeCell="E29" sqref="E29"/>
    </sheetView>
  </sheetViews>
  <sheetFormatPr defaultColWidth="9.140625" defaultRowHeight="15.75"/>
  <cols>
    <col min="1" max="1" width="15.7109375" customWidth="1"/>
    <col min="2" max="2" width="38.85546875" customWidth="1"/>
    <col min="3" max="3" width="22.85546875" customWidth="1"/>
    <col min="4" max="4" width="38.85546875" customWidth="1"/>
    <col min="5" max="5" width="77.42578125" customWidth="1"/>
    <col min="6" max="6" width="23.85546875" customWidth="1"/>
    <col min="7" max="7" width="33" customWidth="1"/>
    <col min="8" max="8" width="12.85546875" style="26" hidden="1" customWidth="1"/>
    <col min="9" max="9" width="20" hidden="1" customWidth="1"/>
    <col min="10" max="10" width="24" customWidth="1"/>
    <col min="11" max="11" width="23" customWidth="1"/>
    <col min="12" max="12" width="13.28515625" customWidth="1"/>
    <col min="13" max="13" width="16.140625" customWidth="1"/>
    <col min="14" max="14" width="13.28515625" customWidth="1"/>
    <col min="15" max="15" width="15.140625" customWidth="1"/>
  </cols>
  <sheetData>
    <row r="1" spans="1:14" s="17" customFormat="1" ht="16.5">
      <c r="A1" s="15" t="s">
        <v>340</v>
      </c>
      <c r="B1" s="15" t="s">
        <v>341</v>
      </c>
      <c r="C1" s="15" t="s">
        <v>342</v>
      </c>
      <c r="D1" s="15" t="s">
        <v>343</v>
      </c>
      <c r="E1" s="16" t="s">
        <v>344</v>
      </c>
      <c r="F1" s="15" t="s">
        <v>345</v>
      </c>
      <c r="G1" s="15" t="s">
        <v>346</v>
      </c>
      <c r="H1" s="15" t="s">
        <v>347</v>
      </c>
      <c r="I1" s="15" t="s">
        <v>348</v>
      </c>
      <c r="J1" s="15" t="s">
        <v>349</v>
      </c>
      <c r="K1" s="15" t="s">
        <v>350</v>
      </c>
      <c r="L1" s="15" t="s">
        <v>351</v>
      </c>
      <c r="M1" s="15" t="s">
        <v>352</v>
      </c>
      <c r="N1" s="15" t="s">
        <v>353</v>
      </c>
    </row>
    <row r="2" spans="1:14" ht="16.5">
      <c r="A2" s="1" t="s">
        <v>354</v>
      </c>
      <c r="B2" s="1" t="s">
        <v>329</v>
      </c>
      <c r="C2" s="1"/>
      <c r="D2" s="1"/>
      <c r="E2" s="21" t="s">
        <v>355</v>
      </c>
      <c r="F2" s="21">
        <v>3</v>
      </c>
      <c r="G2" s="31">
        <v>5</v>
      </c>
      <c r="H2" s="4">
        <v>45931</v>
      </c>
      <c r="I2" s="4">
        <v>45960</v>
      </c>
      <c r="J2" s="30">
        <v>0.7</v>
      </c>
      <c r="K2" s="6" t="s">
        <v>356</v>
      </c>
      <c r="L2" s="5">
        <f>WORKDAY("10/1/2025",表格1_32[[#This Row],[Detailed req est. ]]/表格1_32[[#This Row],[Full Time Estimate(%)]])</f>
        <v>45937</v>
      </c>
      <c r="M2" s="5">
        <f>WORKDAY(表格1_32[[#This Row],[Req ETA]],表格1_32[[#This Row],[Dev + Unit test est.]]/表格1_32[[#This Row],[Full Time Estimate(%)]])</f>
        <v>45946</v>
      </c>
      <c r="N2" s="5"/>
    </row>
    <row r="3" spans="1:14" ht="16.5">
      <c r="A3" s="1" t="s">
        <v>354</v>
      </c>
      <c r="B3" s="1" t="s">
        <v>329</v>
      </c>
      <c r="C3" s="1"/>
      <c r="D3" s="1"/>
      <c r="E3" s="21" t="s">
        <v>357</v>
      </c>
      <c r="F3" s="21">
        <v>3</v>
      </c>
      <c r="G3" s="31">
        <v>5</v>
      </c>
      <c r="H3" s="4">
        <v>45931</v>
      </c>
      <c r="I3" s="4">
        <v>45960</v>
      </c>
      <c r="J3" s="30">
        <v>0.7</v>
      </c>
      <c r="K3" s="6" t="s">
        <v>356</v>
      </c>
      <c r="L3" s="5">
        <f>WORKDAY(M2,表格1_32[[#This Row],[Detailed req est. ]]/表格1_32[[#This Row],[Full Time Estimate(%)]])</f>
        <v>45952</v>
      </c>
      <c r="M3" s="5">
        <f>WORKDAY(表格1_32[[#This Row],[Req ETA]],表格1_32[[#This Row],[Dev + Unit test est.]]/表格1_32[[#This Row],[Full Time Estimate(%)]])</f>
        <v>45961</v>
      </c>
      <c r="N3" s="5"/>
    </row>
    <row r="4" spans="1:14" ht="16.5">
      <c r="A4" s="1" t="s">
        <v>354</v>
      </c>
      <c r="B4" s="1" t="s">
        <v>329</v>
      </c>
      <c r="C4" s="1"/>
      <c r="D4" s="1"/>
      <c r="E4" s="21" t="s">
        <v>358</v>
      </c>
      <c r="F4" s="21">
        <v>3</v>
      </c>
      <c r="G4" s="31">
        <v>5</v>
      </c>
      <c r="H4" s="4">
        <v>45931</v>
      </c>
      <c r="I4" s="4">
        <v>45960</v>
      </c>
      <c r="J4" s="30">
        <v>0.7</v>
      </c>
      <c r="K4" s="6" t="s">
        <v>356</v>
      </c>
      <c r="L4" s="5">
        <f>WORKDAY(M3,表格1_32[[#This Row],[Detailed req est. ]]/表格1_32[[#This Row],[Full Time Estimate(%)]])</f>
        <v>45967</v>
      </c>
      <c r="M4" s="5">
        <f>WORKDAY(表格1_32[[#This Row],[Req ETA]],表格1_32[[#This Row],[Dev + Unit test est.]]/表格1_32[[#This Row],[Full Time Estimate(%)]])</f>
        <v>45978</v>
      </c>
      <c r="N4" s="5"/>
    </row>
    <row r="5" spans="1:14" ht="16.5">
      <c r="A5" s="1" t="s">
        <v>354</v>
      </c>
      <c r="B5" s="1" t="s">
        <v>329</v>
      </c>
      <c r="C5" s="29" t="s">
        <v>359</v>
      </c>
      <c r="D5" s="2" t="s">
        <v>360</v>
      </c>
      <c r="E5" s="2" t="s">
        <v>282</v>
      </c>
      <c r="F5" s="1">
        <v>1</v>
      </c>
      <c r="G5" s="31">
        <v>9</v>
      </c>
      <c r="H5" s="4" t="e">
        <f>H4+#REF!+#REF!+#REF!+4</f>
        <v>#REF!</v>
      </c>
      <c r="I5" s="5" t="e">
        <f>WORKDAY(表格1_32[[#This Row],[Detailed req est. 2]],#REF!)</f>
        <v>#REF!</v>
      </c>
      <c r="J5" s="30">
        <v>0.7</v>
      </c>
      <c r="K5" s="6" t="s">
        <v>356</v>
      </c>
      <c r="L5" s="5">
        <f>WORKDAY(M4,表格1_32[[#This Row],[Detailed req est. ]]/表格1_32[[#This Row],[Full Time Estimate(%)]])</f>
        <v>45979</v>
      </c>
      <c r="M5" s="5">
        <f>WORKDAY(表格1_32[[#This Row],[Req ETA]],表格1_32[[#This Row],[Dev + Unit test est.]]/表格1_32[[#This Row],[Full Time Estimate(%)]])</f>
        <v>45995</v>
      </c>
      <c r="N5" s="5"/>
    </row>
    <row r="6" spans="1:14" ht="16.5">
      <c r="A6" s="1" t="s">
        <v>354</v>
      </c>
      <c r="B6" s="1" t="s">
        <v>329</v>
      </c>
      <c r="C6" s="29">
        <v>7931</v>
      </c>
      <c r="D6" s="2" t="s">
        <v>361</v>
      </c>
      <c r="E6" s="2" t="s">
        <v>290</v>
      </c>
      <c r="F6" s="1">
        <v>1</v>
      </c>
      <c r="G6" s="31">
        <v>5</v>
      </c>
      <c r="H6" s="4" t="e">
        <f>WORKDAY(I5,#REF!)</f>
        <v>#REF!</v>
      </c>
      <c r="I6" s="5" t="e">
        <f>WORKDAY(表格1_32[[#This Row],[Detailed req est. 2]],#REF!)</f>
        <v>#REF!</v>
      </c>
      <c r="J6" s="30">
        <v>1</v>
      </c>
      <c r="K6" s="6" t="s">
        <v>362</v>
      </c>
      <c r="L6" s="5">
        <f>WORKDAY(M5,表格1_32[[#This Row],[Detailed req est. ]]/表格1_32[[#This Row],[Full Time Estimate(%)]])</f>
        <v>45996</v>
      </c>
      <c r="M6" s="5">
        <f>WORKDAY(表格1_32[[#This Row],[Req ETA]],表格1_32[[#This Row],[Dev + Unit test est.]]/表格1_32[[#This Row],[Full Time Estimate(%)]])</f>
        <v>46003</v>
      </c>
      <c r="N6" s="5"/>
    </row>
    <row r="7" spans="1:14" ht="16.5">
      <c r="A7" s="1" t="s">
        <v>354</v>
      </c>
      <c r="B7" s="1" t="s">
        <v>329</v>
      </c>
      <c r="C7" s="29">
        <v>7942</v>
      </c>
      <c r="D7" s="2" t="s">
        <v>363</v>
      </c>
      <c r="E7" s="2" t="s">
        <v>297</v>
      </c>
      <c r="F7" s="1">
        <v>1</v>
      </c>
      <c r="G7" s="31">
        <v>5</v>
      </c>
      <c r="H7" s="4" t="e">
        <f>WORKDAY(I6,#REF!)</f>
        <v>#REF!</v>
      </c>
      <c r="I7" s="5" t="e">
        <f>WORKDAY(表格1_32[[#This Row],[Detailed req est. 2]],#REF!)</f>
        <v>#REF!</v>
      </c>
      <c r="J7" s="30">
        <v>1</v>
      </c>
      <c r="K7" s="6"/>
      <c r="L7" s="5">
        <f>WORKDAY(M6,表格1_32[[#This Row],[Detailed req est. ]]/表格1_32[[#This Row],[Full Time Estimate(%)]])</f>
        <v>46006</v>
      </c>
      <c r="M7" s="5">
        <f>WORKDAY(表格1_32[[#This Row],[Req ETA]],表格1_32[[#This Row],[Dev + Unit test est.]]/表格1_32[[#This Row],[Full Time Estimate(%)]])</f>
        <v>46013</v>
      </c>
      <c r="N7" s="5"/>
    </row>
    <row r="8" spans="1:14" ht="16.5">
      <c r="A8" s="1" t="s">
        <v>354</v>
      </c>
      <c r="B8" s="1" t="s">
        <v>329</v>
      </c>
      <c r="C8" s="29">
        <v>7951</v>
      </c>
      <c r="D8" s="2" t="s">
        <v>364</v>
      </c>
      <c r="E8" s="2" t="s">
        <v>304</v>
      </c>
      <c r="F8" s="1">
        <v>0.5</v>
      </c>
      <c r="G8" s="31">
        <v>1</v>
      </c>
      <c r="H8" s="4" t="e">
        <f>WORKDAY(I7,#REF!)</f>
        <v>#REF!</v>
      </c>
      <c r="I8" s="5" t="e">
        <f>WORKDAY(表格1_32[[#This Row],[Detailed req est. 2]],#REF!)</f>
        <v>#REF!</v>
      </c>
      <c r="J8" s="30">
        <v>1</v>
      </c>
      <c r="K8" s="6"/>
      <c r="L8" s="5">
        <f>WORKDAY(M7,表格1_32[[#This Row],[Detailed req est. ]]/表格1_32[[#This Row],[Full Time Estimate(%)]])</f>
        <v>46013</v>
      </c>
      <c r="M8" s="5">
        <f>WORKDAY(表格1_32[[#This Row],[Req ETA]],表格1_32[[#This Row],[Dev + Unit test est.]]/表格1_32[[#This Row],[Full Time Estimate(%)]])</f>
        <v>46014</v>
      </c>
      <c r="N8" s="5"/>
    </row>
    <row r="9" spans="1:14" ht="16.5">
      <c r="A9" s="1" t="s">
        <v>354</v>
      </c>
      <c r="B9" s="1" t="s">
        <v>329</v>
      </c>
      <c r="C9" s="29">
        <v>7953</v>
      </c>
      <c r="D9" s="2" t="s">
        <v>365</v>
      </c>
      <c r="E9" s="2" t="s">
        <v>310</v>
      </c>
      <c r="F9" s="1">
        <v>0.5</v>
      </c>
      <c r="G9" s="31">
        <v>1</v>
      </c>
      <c r="H9" s="4" t="e">
        <f>WORKDAY(I8,#REF!)</f>
        <v>#REF!</v>
      </c>
      <c r="I9" s="5" t="e">
        <f>WORKDAY(表格1_32[[#This Row],[Detailed req est. 2]],#REF!)</f>
        <v>#REF!</v>
      </c>
      <c r="J9" s="30">
        <v>1</v>
      </c>
      <c r="K9" s="6"/>
      <c r="L9" s="5">
        <f>WORKDAY(M8,表格1_32[[#This Row],[Detailed req est. ]]/表格1_32[[#This Row],[Full Time Estimate(%)]])</f>
        <v>46014</v>
      </c>
      <c r="M9" s="5">
        <f>WORKDAY(表格1_32[[#This Row],[Req ETA]],表格1_32[[#This Row],[Dev + Unit test est.]]/表格1_32[[#This Row],[Full Time Estimate(%)]])</f>
        <v>46015</v>
      </c>
      <c r="N9" s="5"/>
    </row>
    <row r="10" spans="1:14" ht="16.5">
      <c r="A10" s="1" t="s">
        <v>354</v>
      </c>
      <c r="B10" s="1" t="s">
        <v>329</v>
      </c>
      <c r="C10" s="29">
        <v>1111</v>
      </c>
      <c r="D10" s="2" t="s">
        <v>366</v>
      </c>
      <c r="E10" s="2" t="s">
        <v>317</v>
      </c>
      <c r="F10" s="1">
        <v>2</v>
      </c>
      <c r="G10" s="31">
        <v>5</v>
      </c>
      <c r="H10" s="4" t="e">
        <f>WORKDAY(I9,#REF!)</f>
        <v>#REF!</v>
      </c>
      <c r="I10" s="5" t="e">
        <f>WORKDAY(表格1_32[[#This Row],[Detailed req est. 2]],#REF!)</f>
        <v>#REF!</v>
      </c>
      <c r="J10" s="30">
        <v>1</v>
      </c>
      <c r="K10" s="6"/>
      <c r="L10" s="5">
        <f>WORKDAY(M9,表格1_32[[#This Row],[Detailed req est. ]]/表格1_32[[#This Row],[Full Time Estimate(%)]])</f>
        <v>46017</v>
      </c>
      <c r="M10" s="5">
        <f>WORKDAY(表格1_32[[#This Row],[Req ETA]],表格1_32[[#This Row],[Dev + Unit test est.]]/表格1_32[[#This Row],[Full Time Estimate(%)]])</f>
        <v>46024</v>
      </c>
      <c r="N10" s="5">
        <f>WORKDAY(表格1_32[[#This Row],[ DEV ETA]],10)</f>
        <v>46038</v>
      </c>
    </row>
    <row r="11" spans="1:14" ht="16.5" hidden="1">
      <c r="A11" s="1" t="s">
        <v>354</v>
      </c>
      <c r="B11" s="1" t="s">
        <v>329</v>
      </c>
      <c r="C11" s="29">
        <v>3181</v>
      </c>
      <c r="D11" s="3" t="s">
        <v>367</v>
      </c>
      <c r="E11" s="3" t="s">
        <v>368</v>
      </c>
      <c r="F11" s="1">
        <v>0</v>
      </c>
      <c r="G11" s="31">
        <v>0</v>
      </c>
      <c r="H11" s="4" t="e">
        <f>WORKDAY(I10,#REF!)</f>
        <v>#REF!</v>
      </c>
      <c r="I11" s="5" t="e">
        <f>WORKDAY(表格1_32[[#This Row],[Detailed req est. 2]],#REF!)</f>
        <v>#REF!</v>
      </c>
      <c r="J11" s="30">
        <v>2</v>
      </c>
      <c r="K11" s="6"/>
      <c r="L11" s="5">
        <f>WORKDAY(M10,表格1_32[[#This Row],[Detailed req est. ]]/表格1_32[[#This Row],[Full Time Estimate(%)]])</f>
        <v>46024</v>
      </c>
      <c r="M11" s="5">
        <f>WORKDAY(表格1_32[[#This Row],[Req ETA]],表格1_32[[#This Row],[Dev + Unit test est.]]/表格1_32[[#This Row],[Full Time Estimate(%)]])</f>
        <v>46024</v>
      </c>
      <c r="N11" s="5"/>
    </row>
    <row r="12" spans="1:14" ht="16.5" hidden="1">
      <c r="A12" s="1" t="s">
        <v>354</v>
      </c>
      <c r="B12" s="1" t="s">
        <v>329</v>
      </c>
      <c r="C12" s="29">
        <v>3182</v>
      </c>
      <c r="D12" s="3" t="s">
        <v>369</v>
      </c>
      <c r="E12" s="3" t="s">
        <v>370</v>
      </c>
      <c r="F12" s="1">
        <v>0</v>
      </c>
      <c r="G12" s="31">
        <v>0</v>
      </c>
      <c r="H12" s="4" t="e">
        <f>WORKDAY(I11,#REF!)</f>
        <v>#REF!</v>
      </c>
      <c r="I12" s="5" t="e">
        <f>WORKDAY(表格1_32[[#This Row],[Detailed req est. 2]],#REF!)</f>
        <v>#REF!</v>
      </c>
      <c r="J12" s="30">
        <v>2</v>
      </c>
      <c r="K12" s="6"/>
      <c r="L12" s="5">
        <f>WORKDAY(M11,表格1_32[[#This Row],[Detailed req est. ]]/表格1_32[[#This Row],[Full Time Estimate(%)]])</f>
        <v>46024</v>
      </c>
      <c r="M12" s="5">
        <f>WORKDAY(表格1_32[[#This Row],[Req ETA]],表格1_32[[#This Row],[Dev + Unit test est.]]/表格1_32[[#This Row],[Full Time Estimate(%)]])</f>
        <v>46024</v>
      </c>
      <c r="N12" s="5">
        <f>WORKDAY(表格1_32[[#This Row],[ DEV ETA]],10)</f>
        <v>46038</v>
      </c>
    </row>
    <row r="13" spans="1:14" s="42" customFormat="1" ht="16.5">
      <c r="A13" s="35"/>
      <c r="B13" s="36"/>
      <c r="C13" s="37"/>
      <c r="D13" s="37"/>
      <c r="E13" s="35"/>
      <c r="F13" s="38"/>
      <c r="G13" s="39"/>
      <c r="H13" s="38"/>
      <c r="I13" s="38"/>
      <c r="J13" s="40"/>
      <c r="K13" s="41"/>
      <c r="L13" s="38"/>
      <c r="M13" s="38" t="e">
        <f>WORKDAY(表格1_32[[#This Row],[Req ETA]],表格1_32[[#This Row],[Dev + Unit test est.]]/表格1_32[[#This Row],[Full Time Estimate(%)]])</f>
        <v>#DIV/0!</v>
      </c>
      <c r="N13" s="38" t="e">
        <f>M13+14</f>
        <v>#DIV/0!</v>
      </c>
    </row>
    <row r="14" spans="1:14">
      <c r="A14" s="1" t="s">
        <v>354</v>
      </c>
      <c r="B14" s="1" t="s">
        <v>371</v>
      </c>
      <c r="C14" s="1"/>
      <c r="D14" s="1"/>
      <c r="E14" s="21" t="s">
        <v>355</v>
      </c>
      <c r="F14" s="21">
        <v>2</v>
      </c>
      <c r="G14" s="31">
        <v>4</v>
      </c>
      <c r="H14" s="4" t="e">
        <f>WORKDAY(I12,#REF!)</f>
        <v>#REF!</v>
      </c>
      <c r="I14" s="5" t="e">
        <f>WORKDAY(表格1_32[[#This Row],[Detailed req est. 2]],#REF!)</f>
        <v>#REF!</v>
      </c>
      <c r="J14" s="30">
        <v>2</v>
      </c>
      <c r="K14" s="12"/>
      <c r="L14" s="5">
        <f>WORKDAY(M12,表格1_32[[#This Row],[Detailed req est. ]]/表格1_32[[#This Row],[Full Time Estimate(%)]])</f>
        <v>46027</v>
      </c>
      <c r="M14" s="5">
        <f>WORKDAY(表格1_32[[#This Row],[Req ETA]],表格1_32[[#This Row],[Dev + Unit test est.]]/表格1_32[[#This Row],[Full Time Estimate(%)]])</f>
        <v>46029</v>
      </c>
      <c r="N14" s="5"/>
    </row>
    <row r="15" spans="1:14">
      <c r="A15" s="1" t="s">
        <v>354</v>
      </c>
      <c r="B15" s="1" t="s">
        <v>371</v>
      </c>
      <c r="C15" s="1"/>
      <c r="D15" s="2"/>
      <c r="E15" s="21" t="s">
        <v>357</v>
      </c>
      <c r="F15" s="21">
        <v>2</v>
      </c>
      <c r="G15" s="31">
        <v>6</v>
      </c>
      <c r="H15" s="4" t="e">
        <f>WORKDAY(I14,#REF!)</f>
        <v>#REF!</v>
      </c>
      <c r="I15" s="5" t="e">
        <f>WORKDAY(表格1_32[[#This Row],[Detailed req est. 2]],#REF!)</f>
        <v>#REF!</v>
      </c>
      <c r="J15" s="30">
        <v>2</v>
      </c>
      <c r="K15" s="12"/>
      <c r="L15" s="5">
        <f>WORKDAY(M14,表格1_32[[#This Row],[Detailed req est. ]]/表格1_32[[#This Row],[Full Time Estimate(%)]])</f>
        <v>46030</v>
      </c>
      <c r="M15" s="5">
        <f>WORKDAY(表格1_32[[#This Row],[Req ETA]],表格1_32[[#This Row],[Dev + Unit test est.]]/表格1_32[[#This Row],[Full Time Estimate(%)]])</f>
        <v>46035</v>
      </c>
      <c r="N15" s="5"/>
    </row>
    <row r="16" spans="1:14">
      <c r="A16" s="1" t="s">
        <v>354</v>
      </c>
      <c r="B16" s="1" t="s">
        <v>371</v>
      </c>
      <c r="C16" s="1"/>
      <c r="D16" s="3"/>
      <c r="E16" s="21" t="s">
        <v>358</v>
      </c>
      <c r="F16" s="21">
        <v>2</v>
      </c>
      <c r="G16" s="31">
        <v>3</v>
      </c>
      <c r="H16" s="4" t="e">
        <f>WORKDAY(I15,#REF!)</f>
        <v>#REF!</v>
      </c>
      <c r="I16" s="5" t="e">
        <f>WORKDAY(表格1_32[[#This Row],[Detailed req est. 2]],#REF!)</f>
        <v>#REF!</v>
      </c>
      <c r="J16" s="30">
        <v>2</v>
      </c>
      <c r="K16" s="12"/>
      <c r="L16" s="5">
        <f>WORKDAY(M15,表格1_32[[#This Row],[Detailed req est. ]]/表格1_32[[#This Row],[Full Time Estimate(%)]])</f>
        <v>46036</v>
      </c>
      <c r="M16" s="5">
        <f>WORKDAY(表格1_32[[#This Row],[Req ETA]],表格1_32[[#This Row],[Dev + Unit test est.]]/表格1_32[[#This Row],[Full Time Estimate(%)]])</f>
        <v>46037</v>
      </c>
      <c r="N16" s="5"/>
    </row>
    <row r="17" spans="1:14">
      <c r="A17" s="1" t="s">
        <v>354</v>
      </c>
      <c r="B17" s="1" t="s">
        <v>371</v>
      </c>
      <c r="C17" s="29"/>
      <c r="D17" s="2"/>
      <c r="E17" s="18" t="s">
        <v>372</v>
      </c>
      <c r="F17" s="1">
        <v>3</v>
      </c>
      <c r="G17" s="31">
        <v>11</v>
      </c>
      <c r="H17" s="4" t="e">
        <f>WORKDAY(I16,#REF!)</f>
        <v>#REF!</v>
      </c>
      <c r="I17" s="5" t="e">
        <f>WORKDAY(表格1_32[[#This Row],[Detailed req est. 2]],#REF!)</f>
        <v>#REF!</v>
      </c>
      <c r="J17" s="30">
        <v>2</v>
      </c>
      <c r="K17" s="12"/>
      <c r="L17" s="5">
        <f>WORKDAY(M16,表格1_32[[#This Row],[Detailed req est. ]]/表格1_32[[#This Row],[Full Time Estimate(%)]])</f>
        <v>46038</v>
      </c>
      <c r="M17" s="5">
        <f>WORKDAY(表格1_32[[#This Row],[Req ETA]],表格1_32[[#This Row],[Dev + Unit test est.]]/表格1_32[[#This Row],[Full Time Estimate(%)]])</f>
        <v>46045</v>
      </c>
      <c r="N17" s="5"/>
    </row>
    <row r="18" spans="1:14">
      <c r="A18" s="1" t="s">
        <v>354</v>
      </c>
      <c r="B18" s="1" t="s">
        <v>371</v>
      </c>
      <c r="C18" s="29"/>
      <c r="D18" s="3"/>
      <c r="E18" s="2" t="s">
        <v>373</v>
      </c>
      <c r="F18" s="1">
        <v>3</v>
      </c>
      <c r="G18" s="31">
        <v>10</v>
      </c>
      <c r="H18" s="4" t="e">
        <f>WORKDAY(I17,#REF!)</f>
        <v>#REF!</v>
      </c>
      <c r="I18" s="5" t="e">
        <f>WORKDAY(表格1_32[[#This Row],[Detailed req est. 2]],#REF!)</f>
        <v>#REF!</v>
      </c>
      <c r="J18" s="30">
        <v>2</v>
      </c>
      <c r="K18" s="12"/>
      <c r="L18" s="5">
        <f>WORKDAY(M17,表格1_32[[#This Row],[Detailed req est. ]]/表格1_32[[#This Row],[Full Time Estimate(%)]])</f>
        <v>46048</v>
      </c>
      <c r="M18" s="5">
        <f>WORKDAY(表格1_32[[#This Row],[Req ETA]],表格1_32[[#This Row],[Dev + Unit test est.]]/表格1_32[[#This Row],[Full Time Estimate(%)]])</f>
        <v>46055</v>
      </c>
      <c r="N18" s="5"/>
    </row>
    <row r="19" spans="1:14">
      <c r="A19" s="1" t="s">
        <v>354</v>
      </c>
      <c r="B19" s="1" t="s">
        <v>371</v>
      </c>
      <c r="C19" s="29"/>
      <c r="D19" s="3"/>
      <c r="E19" s="3" t="s">
        <v>374</v>
      </c>
      <c r="F19" s="27">
        <v>3</v>
      </c>
      <c r="G19" s="31">
        <v>10</v>
      </c>
      <c r="H19" s="4" t="e">
        <f>WORKDAY(I18,#REF!)</f>
        <v>#REF!</v>
      </c>
      <c r="I19" s="5" t="e">
        <f>WORKDAY(表格1_32[[#This Row],[Detailed req est. 2]],#REF!)</f>
        <v>#REF!</v>
      </c>
      <c r="J19" s="30">
        <v>2</v>
      </c>
      <c r="K19" s="12"/>
      <c r="L19" s="5">
        <f>WORKDAY(M18,表格1_32[[#This Row],[Detailed req est. ]]/表格1_32[[#This Row],[Full Time Estimate(%)]])</f>
        <v>46056</v>
      </c>
      <c r="M19" s="5">
        <f>WORKDAY(表格1_32[[#This Row],[Req ETA]],表格1_32[[#This Row],[Dev + Unit test est.]]/表格1_32[[#This Row],[Full Time Estimate(%)]])</f>
        <v>46063</v>
      </c>
      <c r="N19" s="5">
        <f>WORKDAY(表格1_32[[#This Row],[ DEV ETA]],20)</f>
        <v>46091</v>
      </c>
    </row>
    <row r="20" spans="1:14" s="42" customFormat="1">
      <c r="A20" s="35"/>
      <c r="B20" s="36"/>
      <c r="C20" s="37"/>
      <c r="D20" s="37"/>
      <c r="E20" s="35"/>
      <c r="F20" s="38"/>
      <c r="G20" s="39"/>
      <c r="H20" s="38"/>
      <c r="I20" s="38"/>
      <c r="J20" s="40"/>
      <c r="K20" s="43"/>
      <c r="L20" s="38"/>
      <c r="M20" s="38" t="e">
        <f>WORKDAY(表格1_32[[#This Row],[Req ETA]],表格1_32[[#This Row],[Dev + Unit test est.]]/表格1_32[[#This Row],[Full Time Estimate(%)]])</f>
        <v>#DIV/0!</v>
      </c>
      <c r="N20" s="38" t="e">
        <f>M20+14</f>
        <v>#DIV/0!</v>
      </c>
    </row>
    <row r="21" spans="1:14">
      <c r="A21" s="1" t="s">
        <v>354</v>
      </c>
      <c r="B21" s="8" t="s">
        <v>375</v>
      </c>
      <c r="C21" s="29"/>
      <c r="D21" s="2"/>
      <c r="E21" s="21" t="s">
        <v>358</v>
      </c>
      <c r="F21" s="21">
        <v>2</v>
      </c>
      <c r="G21" s="31">
        <v>5</v>
      </c>
      <c r="H21" s="4" t="e">
        <f>WORKDAY(I19,#REF!)</f>
        <v>#REF!</v>
      </c>
      <c r="I21" s="5" t="e">
        <f>WORKDAY(表格1_32[[#This Row],[Detailed req est. 2]],#REF!)</f>
        <v>#REF!</v>
      </c>
      <c r="J21" s="30">
        <v>2</v>
      </c>
      <c r="K21" s="12"/>
      <c r="L21" s="5">
        <f>WORKDAY(M19,表格1_32[[#This Row],[Detailed req est. ]]/表格1_32[[#This Row],[Full Time Estimate(%)]])</f>
        <v>46064</v>
      </c>
      <c r="M21" s="5">
        <f>WORKDAY(表格1_32[[#This Row],[Req ETA]],表格1_32[[#This Row],[Dev + Unit test est.]]/表格1_32[[#This Row],[Full Time Estimate(%)]])</f>
        <v>46066</v>
      </c>
      <c r="N21" s="5"/>
    </row>
    <row r="22" spans="1:14">
      <c r="A22" s="1" t="s">
        <v>354</v>
      </c>
      <c r="B22" s="8" t="s">
        <v>375</v>
      </c>
      <c r="C22" s="29"/>
      <c r="D22" s="2"/>
      <c r="E22" s="21" t="s">
        <v>355</v>
      </c>
      <c r="F22" s="21">
        <v>2</v>
      </c>
      <c r="G22" s="31">
        <v>7</v>
      </c>
      <c r="H22" s="4" t="e">
        <f>WORKDAY(I21,#REF!)</f>
        <v>#REF!</v>
      </c>
      <c r="I22" s="5" t="e">
        <f>WORKDAY(表格1_32[[#This Row],[Detailed req est. 2]],#REF!)</f>
        <v>#REF!</v>
      </c>
      <c r="J22" s="30">
        <v>2</v>
      </c>
      <c r="K22" s="12"/>
      <c r="L22" s="5">
        <f>WORKDAY(M21,表格1_32[[#This Row],[Detailed req est. ]]/表格1_32[[#This Row],[Full Time Estimate(%)]])</f>
        <v>46069</v>
      </c>
      <c r="M22" s="5">
        <f>WORKDAY(表格1_32[[#This Row],[Req ETA]],表格1_32[[#This Row],[Dev + Unit test est.]]/表格1_32[[#This Row],[Full Time Estimate(%)]])</f>
        <v>46072</v>
      </c>
      <c r="N22" s="5"/>
    </row>
    <row r="23" spans="1:14">
      <c r="A23" s="1" t="s">
        <v>354</v>
      </c>
      <c r="B23" s="8" t="s">
        <v>375</v>
      </c>
      <c r="C23" s="29"/>
      <c r="D23" s="2"/>
      <c r="E23" s="21" t="s">
        <v>357</v>
      </c>
      <c r="F23" s="21">
        <v>2</v>
      </c>
      <c r="G23" s="31">
        <v>4</v>
      </c>
      <c r="H23" s="4" t="e">
        <f>WORKDAY(I22,#REF!)</f>
        <v>#REF!</v>
      </c>
      <c r="I23" s="5" t="e">
        <f>WORKDAY(表格1_32[[#This Row],[Detailed req est. 2]],#REF!)</f>
        <v>#REF!</v>
      </c>
      <c r="J23" s="30">
        <v>2</v>
      </c>
      <c r="K23" s="12"/>
      <c r="L23" s="5">
        <f>WORKDAY(M22,表格1_32[[#This Row],[Detailed req est. ]]/表格1_32[[#This Row],[Full Time Estimate(%)]])</f>
        <v>46073</v>
      </c>
      <c r="M23" s="5">
        <f>WORKDAY(表格1_32[[#This Row],[Req ETA]],表格1_32[[#This Row],[Dev + Unit test est.]]/表格1_32[[#This Row],[Full Time Estimate(%)]])</f>
        <v>46077</v>
      </c>
      <c r="N23" s="5"/>
    </row>
    <row r="24" spans="1:14">
      <c r="A24" s="8" t="s">
        <v>376</v>
      </c>
      <c r="B24" s="8" t="s">
        <v>375</v>
      </c>
      <c r="C24" s="29"/>
      <c r="D24" s="2"/>
      <c r="E24" s="18" t="s">
        <v>377</v>
      </c>
      <c r="F24" s="1">
        <v>2</v>
      </c>
      <c r="G24" s="32">
        <v>4</v>
      </c>
      <c r="H24" s="4" t="e">
        <f>WORKDAY(I23,#REF!)</f>
        <v>#REF!</v>
      </c>
      <c r="I24" s="5" t="e">
        <f>WORKDAY(表格1_32[[#This Row],[Detailed req est. 2]],#REF!)</f>
        <v>#REF!</v>
      </c>
      <c r="J24" s="30">
        <v>2</v>
      </c>
      <c r="K24" s="9"/>
      <c r="L24" s="5">
        <f>WORKDAY(M23,表格1_32[[#This Row],[Detailed req est. ]]/表格1_32[[#This Row],[Full Time Estimate(%)]])</f>
        <v>46078</v>
      </c>
      <c r="M24" s="5">
        <f>WORKDAY(表格1_32[[#This Row],[Req ETA]],表格1_32[[#This Row],[Dev + Unit test est.]]/表格1_32[[#This Row],[Full Time Estimate(%)]])</f>
        <v>46080</v>
      </c>
      <c r="N24" s="5"/>
    </row>
    <row r="25" spans="1:14">
      <c r="A25" s="8" t="s">
        <v>376</v>
      </c>
      <c r="B25" s="8" t="s">
        <v>375</v>
      </c>
      <c r="C25" s="29"/>
      <c r="D25" s="2"/>
      <c r="E25" s="18" t="s">
        <v>378</v>
      </c>
      <c r="F25" s="1">
        <v>2</v>
      </c>
      <c r="G25" s="32">
        <v>4</v>
      </c>
      <c r="H25" s="4" t="e">
        <f>WORKDAY(I24,#REF!)</f>
        <v>#REF!</v>
      </c>
      <c r="I25" s="5" t="e">
        <f>WORKDAY(表格1_32[[#This Row],[Detailed req est. 2]],#REF!)</f>
        <v>#REF!</v>
      </c>
      <c r="J25" s="30">
        <v>2</v>
      </c>
      <c r="K25" s="9"/>
      <c r="L25" s="5">
        <f>WORKDAY(M24,表格1_32[[#This Row],[Detailed req est. ]]/表格1_32[[#This Row],[Full Time Estimate(%)]])</f>
        <v>46083</v>
      </c>
      <c r="M25" s="5">
        <f>WORKDAY(表格1_32[[#This Row],[Req ETA]],表格1_32[[#This Row],[Dev + Unit test est.]]/表格1_32[[#This Row],[Full Time Estimate(%)]])</f>
        <v>46085</v>
      </c>
      <c r="N25" s="5"/>
    </row>
    <row r="26" spans="1:14">
      <c r="A26" s="8" t="s">
        <v>376</v>
      </c>
      <c r="B26" s="8" t="s">
        <v>375</v>
      </c>
      <c r="C26" s="8"/>
      <c r="D26" s="8"/>
      <c r="E26" s="18" t="s">
        <v>379</v>
      </c>
      <c r="F26" s="1">
        <v>2</v>
      </c>
      <c r="G26" s="33">
        <v>5</v>
      </c>
      <c r="H26" s="4" t="e">
        <f>WORKDAY(I25,#REF!)</f>
        <v>#REF!</v>
      </c>
      <c r="I26" s="5" t="e">
        <f>WORKDAY(表格1_32[[#This Row],[Detailed req est. 2]],#REF!)</f>
        <v>#REF!</v>
      </c>
      <c r="J26" s="30">
        <v>2</v>
      </c>
      <c r="K26" s="9"/>
      <c r="L26" s="5">
        <f>WORKDAY(M25,表格1_32[[#This Row],[Detailed req est. ]]/表格1_32[[#This Row],[Full Time Estimate(%)]])</f>
        <v>46086</v>
      </c>
      <c r="M26" s="5">
        <f>WORKDAY(表格1_32[[#This Row],[Req ETA]],表格1_32[[#This Row],[Dev + Unit test est.]]/表格1_32[[#This Row],[Full Time Estimate(%)]])</f>
        <v>46090</v>
      </c>
      <c r="N26" s="5"/>
    </row>
    <row r="27" spans="1:14">
      <c r="A27" s="8" t="s">
        <v>376</v>
      </c>
      <c r="B27" s="8" t="s">
        <v>375</v>
      </c>
      <c r="C27" s="8"/>
      <c r="D27" s="8"/>
      <c r="E27" s="18" t="s">
        <v>380</v>
      </c>
      <c r="F27" s="1">
        <v>4</v>
      </c>
      <c r="G27" s="31">
        <v>9</v>
      </c>
      <c r="H27" s="4" t="e">
        <f>WORKDAY(I26,#REF!)</f>
        <v>#REF!</v>
      </c>
      <c r="I27" s="5" t="e">
        <f>WORKDAY(表格1_32[[#This Row],[Detailed req est. 2]],#REF!)</f>
        <v>#REF!</v>
      </c>
      <c r="J27" s="30">
        <v>2</v>
      </c>
      <c r="K27" s="9"/>
      <c r="L27" s="5">
        <f>WORKDAY(M26,表格1_32[[#This Row],[Detailed req est. ]]/表格1_32[[#This Row],[Full Time Estimate(%)]])</f>
        <v>46092</v>
      </c>
      <c r="M27" s="5">
        <f>WORKDAY(表格1_32[[#This Row],[Req ETA]],表格1_32[[#This Row],[Dev + Unit test est.]]/表格1_32[[#This Row],[Full Time Estimate(%)]])</f>
        <v>46098</v>
      </c>
      <c r="N27" s="5"/>
    </row>
    <row r="28" spans="1:14">
      <c r="A28" s="8" t="s">
        <v>376</v>
      </c>
      <c r="B28" s="8" t="s">
        <v>375</v>
      </c>
      <c r="C28" s="8"/>
      <c r="D28" s="8"/>
      <c r="E28" s="18" t="s">
        <v>381</v>
      </c>
      <c r="F28" s="1">
        <v>2</v>
      </c>
      <c r="G28" s="32">
        <v>5</v>
      </c>
      <c r="H28" s="4" t="e">
        <f>WORKDAY(I27,#REF!)</f>
        <v>#REF!</v>
      </c>
      <c r="I28" s="5" t="e">
        <f>WORKDAY(表格1_32[[#This Row],[Detailed req est. 2]],#REF!)</f>
        <v>#REF!</v>
      </c>
      <c r="J28" s="30">
        <v>2</v>
      </c>
      <c r="K28" s="9"/>
      <c r="L28" s="5">
        <f>WORKDAY(M27,表格1_32[[#This Row],[Detailed req est. ]]/表格1_32[[#This Row],[Full Time Estimate(%)]])</f>
        <v>46099</v>
      </c>
      <c r="M28" s="5">
        <f>WORKDAY(表格1_32[[#This Row],[Req ETA]],表格1_32[[#This Row],[Dev + Unit test est.]]/表格1_32[[#This Row],[Full Time Estimate(%)]])</f>
        <v>46101</v>
      </c>
      <c r="N28" s="5"/>
    </row>
    <row r="29" spans="1:14">
      <c r="A29" s="8" t="s">
        <v>376</v>
      </c>
      <c r="B29" s="8" t="s">
        <v>375</v>
      </c>
      <c r="C29" s="8"/>
      <c r="D29" s="8"/>
      <c r="E29" s="18" t="s">
        <v>382</v>
      </c>
      <c r="F29" s="1">
        <v>4</v>
      </c>
      <c r="G29" s="31">
        <v>9</v>
      </c>
      <c r="H29" s="4" t="e">
        <f>WORKDAY(I28,#REF!)</f>
        <v>#REF!</v>
      </c>
      <c r="I29" s="5" t="e">
        <f>WORKDAY(表格1_32[[#This Row],[Detailed req est. 2]],#REF!)</f>
        <v>#REF!</v>
      </c>
      <c r="J29" s="30">
        <v>2</v>
      </c>
      <c r="K29" s="9"/>
      <c r="L29" s="5">
        <f>WORKDAY(M28,表格1_32[[#This Row],[Detailed req est. ]]/表格1_32[[#This Row],[Full Time Estimate(%)]])</f>
        <v>46105</v>
      </c>
      <c r="M29" s="5">
        <f>WORKDAY(表格1_32[[#This Row],[Req ETA]],表格1_32[[#This Row],[Dev + Unit test est.]]/表格1_32[[#This Row],[Full Time Estimate(%)]])</f>
        <v>46111</v>
      </c>
      <c r="N29" s="5"/>
    </row>
    <row r="30" spans="1:14">
      <c r="A30" s="8" t="s">
        <v>376</v>
      </c>
      <c r="B30" s="8" t="s">
        <v>375</v>
      </c>
      <c r="C30" s="8"/>
      <c r="D30" s="8"/>
      <c r="E30" s="18" t="s">
        <v>383</v>
      </c>
      <c r="F30" s="1">
        <v>5</v>
      </c>
      <c r="G30" s="31">
        <v>9</v>
      </c>
      <c r="H30" s="4" t="e">
        <f>WORKDAY(I29,#REF!)</f>
        <v>#REF!</v>
      </c>
      <c r="I30" s="5" t="e">
        <f>WORKDAY(表格1_32[[#This Row],[Detailed req est. 2]],#REF!)</f>
        <v>#REF!</v>
      </c>
      <c r="J30" s="30">
        <v>2</v>
      </c>
      <c r="K30" s="9"/>
      <c r="L30" s="5">
        <f>WORKDAY(M29,表格1_32[[#This Row],[Detailed req est. ]]/表格1_32[[#This Row],[Full Time Estimate(%)]])</f>
        <v>46113</v>
      </c>
      <c r="M30" s="5">
        <f>WORKDAY(表格1_32[[#This Row],[Req ETA]],表格1_32[[#This Row],[Dev + Unit test est.]]/表格1_32[[#This Row],[Full Time Estimate(%)]])</f>
        <v>46119</v>
      </c>
      <c r="N30" s="5"/>
    </row>
    <row r="31" spans="1:14">
      <c r="A31" s="8" t="s">
        <v>376</v>
      </c>
      <c r="B31" s="8" t="s">
        <v>375</v>
      </c>
      <c r="C31" s="8"/>
      <c r="D31" s="8"/>
      <c r="E31" s="18" t="s">
        <v>384</v>
      </c>
      <c r="F31" s="1">
        <v>4</v>
      </c>
      <c r="G31" s="31">
        <v>9</v>
      </c>
      <c r="H31" s="4" t="e">
        <f>WORKDAY(I30,#REF!)</f>
        <v>#REF!</v>
      </c>
      <c r="I31" s="5" t="e">
        <f>WORKDAY(表格1_32[[#This Row],[Detailed req est. 2]],#REF!)</f>
        <v>#REF!</v>
      </c>
      <c r="J31" s="30">
        <v>2</v>
      </c>
      <c r="K31" s="9"/>
      <c r="L31" s="5">
        <f>WORKDAY(M30,表格1_32[[#This Row],[Detailed req est. ]]/表格1_32[[#This Row],[Full Time Estimate(%)]])</f>
        <v>46121</v>
      </c>
      <c r="M31" s="5">
        <f>WORKDAY(表格1_32[[#This Row],[Req ETA]],表格1_32[[#This Row],[Dev + Unit test est.]]/表格1_32[[#This Row],[Full Time Estimate(%)]])</f>
        <v>46127</v>
      </c>
      <c r="N31" s="5"/>
    </row>
    <row r="32" spans="1:14">
      <c r="A32" s="8" t="s">
        <v>376</v>
      </c>
      <c r="B32" s="8" t="s">
        <v>375</v>
      </c>
      <c r="C32" s="8"/>
      <c r="D32" s="8"/>
      <c r="E32" s="18" t="s">
        <v>385</v>
      </c>
      <c r="F32" s="1">
        <v>3</v>
      </c>
      <c r="G32" s="32">
        <v>5</v>
      </c>
      <c r="H32" s="4" t="e">
        <f>WORKDAY(I31,#REF!)</f>
        <v>#REF!</v>
      </c>
      <c r="I32" s="5" t="e">
        <f>WORKDAY(表格1_32[[#This Row],[Detailed req est. 2]],#REF!)</f>
        <v>#REF!</v>
      </c>
      <c r="J32" s="30">
        <v>2</v>
      </c>
      <c r="K32" s="9"/>
      <c r="L32" s="5">
        <f>WORKDAY(M31,表格1_32[[#This Row],[Detailed req est. ]]/表格1_32[[#This Row],[Full Time Estimate(%)]])</f>
        <v>46128</v>
      </c>
      <c r="M32" s="5">
        <f>WORKDAY(表格1_32[[#This Row],[Req ETA]],表格1_32[[#This Row],[Dev + Unit test est.]]/表格1_32[[#This Row],[Full Time Estimate(%)]])</f>
        <v>46132</v>
      </c>
      <c r="N32" s="5"/>
    </row>
    <row r="33" spans="1:14">
      <c r="A33" s="10" t="s">
        <v>376</v>
      </c>
      <c r="B33" s="8" t="s">
        <v>375</v>
      </c>
      <c r="C33" s="8"/>
      <c r="D33" s="8"/>
      <c r="E33" s="18" t="s">
        <v>386</v>
      </c>
      <c r="F33" s="1">
        <v>2</v>
      </c>
      <c r="G33" s="32">
        <v>4</v>
      </c>
      <c r="H33" s="4" t="e">
        <f>WORKDAY(I32,#REF!)</f>
        <v>#REF!</v>
      </c>
      <c r="I33" s="5" t="e">
        <f>WORKDAY(表格1_32[[#This Row],[Detailed req est. 2]],#REF!)</f>
        <v>#REF!</v>
      </c>
      <c r="J33" s="30">
        <v>2</v>
      </c>
      <c r="K33" s="9"/>
      <c r="L33" s="5">
        <f>WORKDAY(M32,表格1_32[[#This Row],[Detailed req est. ]]/表格1_32[[#This Row],[Full Time Estimate(%)]])</f>
        <v>46133</v>
      </c>
      <c r="M33" s="5">
        <f>WORKDAY(表格1_32[[#This Row],[Req ETA]],表格1_32[[#This Row],[Dev + Unit test est.]]/表格1_32[[#This Row],[Full Time Estimate(%)]])</f>
        <v>46135</v>
      </c>
      <c r="N33" s="5"/>
    </row>
    <row r="34" spans="1:14">
      <c r="A34" s="10" t="s">
        <v>376</v>
      </c>
      <c r="B34" s="8" t="s">
        <v>375</v>
      </c>
      <c r="C34" s="8"/>
      <c r="D34" s="8"/>
      <c r="E34" s="18" t="s">
        <v>387</v>
      </c>
      <c r="F34" s="1">
        <v>2</v>
      </c>
      <c r="G34" s="32">
        <v>4</v>
      </c>
      <c r="H34" s="4" t="e">
        <f>WORKDAY(I33,#REF!)</f>
        <v>#REF!</v>
      </c>
      <c r="I34" s="5" t="e">
        <f>WORKDAY(表格1_32[[#This Row],[Detailed req est. 2]],#REF!)</f>
        <v>#REF!</v>
      </c>
      <c r="J34" s="30">
        <v>2</v>
      </c>
      <c r="K34" s="9"/>
      <c r="L34" s="5">
        <f>WORKDAY(M33,表格1_32[[#This Row],[Detailed req est. ]]/表格1_32[[#This Row],[Full Time Estimate(%)]])</f>
        <v>46136</v>
      </c>
      <c r="M34" s="5">
        <f>WORKDAY(表格1_32[[#This Row],[Req ETA]],表格1_32[[#This Row],[Dev + Unit test est.]]/表格1_32[[#This Row],[Full Time Estimate(%)]])</f>
        <v>46140</v>
      </c>
      <c r="N34" s="5"/>
    </row>
    <row r="35" spans="1:14">
      <c r="A35" s="10" t="s">
        <v>376</v>
      </c>
      <c r="B35" s="8" t="s">
        <v>375</v>
      </c>
      <c r="C35" s="8"/>
      <c r="D35" s="8"/>
      <c r="E35" s="18" t="s">
        <v>388</v>
      </c>
      <c r="F35" s="1">
        <v>3</v>
      </c>
      <c r="G35" s="32">
        <v>5</v>
      </c>
      <c r="H35" s="4" t="e">
        <f>WORKDAY(I34,#REF!)</f>
        <v>#REF!</v>
      </c>
      <c r="I35" s="5" t="e">
        <f>WORKDAY(表格1_32[[#This Row],[Detailed req est. 2]],#REF!)</f>
        <v>#REF!</v>
      </c>
      <c r="J35" s="30">
        <v>2</v>
      </c>
      <c r="K35" s="9"/>
      <c r="L35" s="5">
        <f>WORKDAY(M34,表格1_32[[#This Row],[Detailed req est. ]]/表格1_32[[#This Row],[Full Time Estimate(%)]])</f>
        <v>46141</v>
      </c>
      <c r="M35" s="5">
        <f>WORKDAY(表格1_32[[#This Row],[Req ETA]],表格1_32[[#This Row],[Dev + Unit test est.]]/表格1_32[[#This Row],[Full Time Estimate(%)]])</f>
        <v>46143</v>
      </c>
      <c r="N35" s="5"/>
    </row>
    <row r="36" spans="1:14">
      <c r="A36" s="10" t="s">
        <v>376</v>
      </c>
      <c r="B36" s="8" t="s">
        <v>375</v>
      </c>
      <c r="C36" s="8"/>
      <c r="D36" s="8"/>
      <c r="E36" s="18" t="s">
        <v>389</v>
      </c>
      <c r="F36" s="1">
        <v>3</v>
      </c>
      <c r="G36" s="32">
        <v>5</v>
      </c>
      <c r="H36" s="4" t="e">
        <f>WORKDAY(I35,#REF!)</f>
        <v>#REF!</v>
      </c>
      <c r="I36" s="5" t="e">
        <f>WORKDAY(表格1_32[[#This Row],[Detailed req est. 2]],#REF!)</f>
        <v>#REF!</v>
      </c>
      <c r="J36" s="30">
        <v>2</v>
      </c>
      <c r="K36" s="9"/>
      <c r="L36" s="5">
        <f>WORKDAY(M35,表格1_32[[#This Row],[Detailed req est. ]]/表格1_32[[#This Row],[Full Time Estimate(%)]])</f>
        <v>46146</v>
      </c>
      <c r="M36" s="5">
        <f>WORKDAY(表格1_32[[#This Row],[Req ETA]],表格1_32[[#This Row],[Dev + Unit test est.]]/表格1_32[[#This Row],[Full Time Estimate(%)]])</f>
        <v>46148</v>
      </c>
      <c r="N36" s="5"/>
    </row>
    <row r="37" spans="1:14">
      <c r="A37" s="10" t="s">
        <v>376</v>
      </c>
      <c r="B37" s="8" t="s">
        <v>375</v>
      </c>
      <c r="C37" s="8"/>
      <c r="D37" s="8"/>
      <c r="E37" s="18" t="s">
        <v>390</v>
      </c>
      <c r="F37" s="1">
        <v>2</v>
      </c>
      <c r="G37" s="32">
        <v>4</v>
      </c>
      <c r="H37" s="4" t="e">
        <f>WORKDAY(I36,#REF!)</f>
        <v>#REF!</v>
      </c>
      <c r="I37" s="5" t="e">
        <f>WORKDAY(表格1_32[[#This Row],[Detailed req est. 2]],#REF!)</f>
        <v>#REF!</v>
      </c>
      <c r="J37" s="30">
        <v>2</v>
      </c>
      <c r="K37" s="9"/>
      <c r="L37" s="5">
        <f>WORKDAY(M36,表格1_32[[#This Row],[Detailed req est. ]]/表格1_32[[#This Row],[Full Time Estimate(%)]])</f>
        <v>46149</v>
      </c>
      <c r="M37" s="5">
        <f>WORKDAY(表格1_32[[#This Row],[Req ETA]],表格1_32[[#This Row],[Dev + Unit test est.]]/表格1_32[[#This Row],[Full Time Estimate(%)]])</f>
        <v>46153</v>
      </c>
      <c r="N37" s="5"/>
    </row>
    <row r="38" spans="1:14">
      <c r="A38" s="10" t="s">
        <v>376</v>
      </c>
      <c r="B38" s="8" t="s">
        <v>375</v>
      </c>
      <c r="C38" s="8"/>
      <c r="D38" s="8"/>
      <c r="E38" s="18" t="s">
        <v>391</v>
      </c>
      <c r="F38" s="1">
        <v>3</v>
      </c>
      <c r="G38" s="32">
        <v>4</v>
      </c>
      <c r="H38" s="4" t="e">
        <f>WORKDAY(I37,#REF!)</f>
        <v>#REF!</v>
      </c>
      <c r="I38" s="5" t="e">
        <f>WORKDAY(表格1_32[[#This Row],[Detailed req est. 2]],#REF!)</f>
        <v>#REF!</v>
      </c>
      <c r="J38" s="30">
        <v>2</v>
      </c>
      <c r="K38" s="9"/>
      <c r="L38" s="5">
        <f>WORKDAY(M37,表格1_32[[#This Row],[Detailed req est. ]]/表格1_32[[#This Row],[Full Time Estimate(%)]])</f>
        <v>46154</v>
      </c>
      <c r="M38" s="5">
        <f>WORKDAY(表格1_32[[#This Row],[Req ETA]],表格1_32[[#This Row],[Dev + Unit test est.]]/表格1_32[[#This Row],[Full Time Estimate(%)]])</f>
        <v>46156</v>
      </c>
      <c r="N38" s="5"/>
    </row>
    <row r="39" spans="1:14">
      <c r="A39" s="10" t="s">
        <v>376</v>
      </c>
      <c r="B39" s="8" t="s">
        <v>375</v>
      </c>
      <c r="C39" s="8"/>
      <c r="D39" s="8"/>
      <c r="E39" s="78" t="s">
        <v>392</v>
      </c>
      <c r="F39" s="1">
        <v>3</v>
      </c>
      <c r="G39" s="32">
        <v>4</v>
      </c>
      <c r="H39" s="4" t="e">
        <f>WORKDAY(I38,#REF!)</f>
        <v>#REF!</v>
      </c>
      <c r="I39" s="5" t="e">
        <f>WORKDAY(表格1_32[[#This Row],[Detailed req est. 2]],#REF!)</f>
        <v>#REF!</v>
      </c>
      <c r="J39" s="30">
        <v>2</v>
      </c>
      <c r="K39" s="9"/>
      <c r="L39" s="5">
        <f>WORKDAY(M38,表格1_32[[#This Row],[Detailed req est. ]]/表格1_32[[#This Row],[Full Time Estimate(%)]])</f>
        <v>46157</v>
      </c>
      <c r="M39" s="5">
        <f>WORKDAY(表格1_32[[#This Row],[Req ETA]],表格1_32[[#This Row],[Dev + Unit test est.]]/表格1_32[[#This Row],[Full Time Estimate(%)]])</f>
        <v>46161</v>
      </c>
      <c r="N39" s="5"/>
    </row>
    <row r="40" spans="1:14">
      <c r="A40" s="10" t="s">
        <v>376</v>
      </c>
      <c r="B40" s="8" t="s">
        <v>375</v>
      </c>
      <c r="C40" s="8"/>
      <c r="D40" s="8"/>
      <c r="E40" s="78" t="s">
        <v>393</v>
      </c>
      <c r="F40" s="1">
        <v>3</v>
      </c>
      <c r="G40" s="32">
        <v>4</v>
      </c>
      <c r="H40" s="4" t="e">
        <f>WORKDAY(I39,#REF!)</f>
        <v>#REF!</v>
      </c>
      <c r="I40" s="5" t="e">
        <f>WORKDAY(表格1_32[[#This Row],[Detailed req est. 2]],#REF!)</f>
        <v>#REF!</v>
      </c>
      <c r="J40" s="30">
        <v>2</v>
      </c>
      <c r="K40" s="9"/>
      <c r="L40" s="5">
        <f>WORKDAY(M39,表格1_32[[#This Row],[Detailed req est. ]]/表格1_32[[#This Row],[Full Time Estimate(%)]])</f>
        <v>46162</v>
      </c>
      <c r="M40" s="5">
        <f>WORKDAY(表格1_32[[#This Row],[Req ETA]],表格1_32[[#This Row],[Dev + Unit test est.]]/表格1_32[[#This Row],[Full Time Estimate(%)]])</f>
        <v>46164</v>
      </c>
      <c r="N40" s="5"/>
    </row>
    <row r="41" spans="1:14">
      <c r="A41" s="11" t="s">
        <v>354</v>
      </c>
      <c r="B41" s="8" t="s">
        <v>375</v>
      </c>
      <c r="C41" s="8"/>
      <c r="D41" s="8"/>
      <c r="E41" s="18" t="s">
        <v>394</v>
      </c>
      <c r="F41" s="1">
        <v>4</v>
      </c>
      <c r="G41" s="31">
        <v>9</v>
      </c>
      <c r="H41" s="4" t="e">
        <f>WORKDAY(I40,#REF!)</f>
        <v>#REF!</v>
      </c>
      <c r="I41" s="5" t="e">
        <f>WORKDAY(表格1_32[[#This Row],[Detailed req est. 2]],#REF!)</f>
        <v>#REF!</v>
      </c>
      <c r="J41" s="30">
        <v>2</v>
      </c>
      <c r="K41" s="9"/>
      <c r="L41" s="5">
        <f>WORKDAY(M40,表格1_32[[#This Row],[Detailed req est. ]]/表格1_32[[#This Row],[Full Time Estimate(%)]])</f>
        <v>46168</v>
      </c>
      <c r="M41" s="5">
        <f>WORKDAY(表格1_32[[#This Row],[Req ETA]],表格1_32[[#This Row],[Dev + Unit test est.]]/表格1_32[[#This Row],[Full Time Estimate(%)]])</f>
        <v>46174</v>
      </c>
      <c r="N41" s="5"/>
    </row>
    <row r="42" spans="1:14">
      <c r="A42" s="1" t="s">
        <v>354</v>
      </c>
      <c r="B42" s="8" t="s">
        <v>375</v>
      </c>
      <c r="C42" s="8"/>
      <c r="D42" s="8"/>
      <c r="E42" s="18" t="s">
        <v>395</v>
      </c>
      <c r="F42" s="1">
        <v>4</v>
      </c>
      <c r="G42" s="31">
        <v>9</v>
      </c>
      <c r="H42" s="4" t="e">
        <f>WORKDAY(I41,#REF!)</f>
        <v>#REF!</v>
      </c>
      <c r="I42" s="5" t="e">
        <f>WORKDAY(表格1_32[[#This Row],[Detailed req est. 2]],#REF!)</f>
        <v>#REF!</v>
      </c>
      <c r="J42" s="30">
        <v>2</v>
      </c>
      <c r="K42" s="9"/>
      <c r="L42" s="5">
        <f>WORKDAY(M41,表格1_32[[#This Row],[Detailed req est. ]]/表格1_32[[#This Row],[Full Time Estimate(%)]])</f>
        <v>46176</v>
      </c>
      <c r="M42" s="5">
        <f>WORKDAY(表格1_32[[#This Row],[Req ETA]],表格1_32[[#This Row],[Dev + Unit test est.]]/表格1_32[[#This Row],[Full Time Estimate(%)]])</f>
        <v>46182</v>
      </c>
      <c r="N42" s="5"/>
    </row>
    <row r="43" spans="1:14">
      <c r="A43" s="1" t="s">
        <v>354</v>
      </c>
      <c r="B43" s="8" t="s">
        <v>375</v>
      </c>
      <c r="C43" s="8"/>
      <c r="D43" s="8"/>
      <c r="E43" s="18" t="s">
        <v>396</v>
      </c>
      <c r="F43" s="1">
        <v>2</v>
      </c>
      <c r="G43" s="31">
        <v>4</v>
      </c>
      <c r="H43" s="4" t="e">
        <f>WORKDAY(I42,#REF!)</f>
        <v>#REF!</v>
      </c>
      <c r="I43" s="5" t="e">
        <f>WORKDAY(表格1_32[[#This Row],[Detailed req est. 2]],#REF!)</f>
        <v>#REF!</v>
      </c>
      <c r="J43" s="30">
        <v>2</v>
      </c>
      <c r="K43" s="9"/>
      <c r="L43" s="5">
        <f>WORKDAY(M42,表格1_32[[#This Row],[Detailed req est. ]]/表格1_32[[#This Row],[Full Time Estimate(%)]])</f>
        <v>46183</v>
      </c>
      <c r="M43" s="5">
        <f>WORKDAY(表格1_32[[#This Row],[Req ETA]],表格1_32[[#This Row],[Dev + Unit test est.]]/表格1_32[[#This Row],[Full Time Estimate(%)]])</f>
        <v>46185</v>
      </c>
      <c r="N43" s="5"/>
    </row>
    <row r="44" spans="1:14">
      <c r="A44" s="1" t="s">
        <v>354</v>
      </c>
      <c r="B44" s="8" t="s">
        <v>375</v>
      </c>
      <c r="C44" s="8"/>
      <c r="D44" s="8"/>
      <c r="E44" s="18" t="s">
        <v>397</v>
      </c>
      <c r="F44" s="1">
        <v>2</v>
      </c>
      <c r="G44" s="31">
        <v>9</v>
      </c>
      <c r="H44" s="4" t="e">
        <f>WORKDAY(I43,#REF!)</f>
        <v>#REF!</v>
      </c>
      <c r="I44" s="5" t="e">
        <f>WORKDAY(表格1_32[[#This Row],[Detailed req est. 2]],#REF!)</f>
        <v>#REF!</v>
      </c>
      <c r="J44" s="30">
        <v>2</v>
      </c>
      <c r="K44" s="9"/>
      <c r="L44" s="5">
        <f>WORKDAY(M43,表格1_32[[#This Row],[Detailed req est. ]]/表格1_32[[#This Row],[Full Time Estimate(%)]])</f>
        <v>46188</v>
      </c>
      <c r="M44" s="5">
        <f>WORKDAY(表格1_32[[#This Row],[Req ETA]],表格1_32[[#This Row],[Dev + Unit test est.]]/表格1_32[[#This Row],[Full Time Estimate(%)]])</f>
        <v>46192</v>
      </c>
      <c r="N44" s="5"/>
    </row>
    <row r="45" spans="1:14">
      <c r="A45" s="1" t="s">
        <v>354</v>
      </c>
      <c r="B45" s="8" t="s">
        <v>375</v>
      </c>
      <c r="C45" s="8"/>
      <c r="D45" s="8"/>
      <c r="E45" s="18" t="s">
        <v>398</v>
      </c>
      <c r="F45" s="1">
        <v>2</v>
      </c>
      <c r="G45" s="31">
        <v>5</v>
      </c>
      <c r="H45" s="4" t="e">
        <f>WORKDAY(I44,#REF!)</f>
        <v>#REF!</v>
      </c>
      <c r="I45" s="5" t="e">
        <f>WORKDAY(表格1_32[[#This Row],[Detailed req est. 2]],#REF!)</f>
        <v>#REF!</v>
      </c>
      <c r="J45" s="30">
        <v>2</v>
      </c>
      <c r="K45" s="9"/>
      <c r="L45" s="5">
        <f>WORKDAY(M44,表格1_32[[#This Row],[Detailed req est. ]]/表格1_32[[#This Row],[Full Time Estimate(%)]])</f>
        <v>46195</v>
      </c>
      <c r="M45" s="5">
        <f>WORKDAY(表格1_32[[#This Row],[Req ETA]],表格1_32[[#This Row],[Dev + Unit test est.]]/表格1_32[[#This Row],[Full Time Estimate(%)]])</f>
        <v>46197</v>
      </c>
      <c r="N45" s="5"/>
    </row>
    <row r="46" spans="1:14">
      <c r="A46" s="1" t="s">
        <v>354</v>
      </c>
      <c r="B46" s="8" t="s">
        <v>375</v>
      </c>
      <c r="C46" s="8"/>
      <c r="D46" s="8"/>
      <c r="E46" s="18" t="s">
        <v>399</v>
      </c>
      <c r="F46" s="1">
        <v>2</v>
      </c>
      <c r="G46" s="31">
        <v>5</v>
      </c>
      <c r="H46" s="4" t="e">
        <f>WORKDAY(I45,#REF!)</f>
        <v>#REF!</v>
      </c>
      <c r="I46" s="5" t="e">
        <f>WORKDAY(表格1_32[[#This Row],[Detailed req est. 2]],#REF!)</f>
        <v>#REF!</v>
      </c>
      <c r="J46" s="30">
        <v>2</v>
      </c>
      <c r="K46" s="9"/>
      <c r="L46" s="5">
        <f>WORKDAY(M45,表格1_32[[#This Row],[Detailed req est. ]]/表格1_32[[#This Row],[Full Time Estimate(%)]])</f>
        <v>46198</v>
      </c>
      <c r="M46" s="5">
        <f>WORKDAY(表格1_32[[#This Row],[Req ETA]],表格1_32[[#This Row],[Dev + Unit test est.]]/表格1_32[[#This Row],[Full Time Estimate(%)]])</f>
        <v>46202</v>
      </c>
      <c r="N46" s="5"/>
    </row>
    <row r="47" spans="1:14">
      <c r="A47" s="10" t="s">
        <v>376</v>
      </c>
      <c r="B47" s="8" t="s">
        <v>375</v>
      </c>
      <c r="C47" s="28"/>
      <c r="D47" s="28"/>
      <c r="E47" s="23" t="s">
        <v>400</v>
      </c>
      <c r="F47" s="22">
        <v>4</v>
      </c>
      <c r="G47" s="34">
        <v>9</v>
      </c>
      <c r="H47" s="4" t="e">
        <f>WORKDAY(I46,#REF!)</f>
        <v>#REF!</v>
      </c>
      <c r="I47" s="5" t="e">
        <f>WORKDAY(表格1_32[[#This Row],[Detailed req est. 2]],#REF!)</f>
        <v>#REF!</v>
      </c>
      <c r="J47" s="30">
        <v>2</v>
      </c>
      <c r="K47" s="9"/>
      <c r="L47" s="5">
        <f>WORKDAY(M46,表格1_32[[#This Row],[Detailed req est. ]]/表格1_32[[#This Row],[Full Time Estimate(%)]])</f>
        <v>46204</v>
      </c>
      <c r="M47" s="5">
        <f>WORKDAY(表格1_32[[#This Row],[Req ETA]],表格1_32[[#This Row],[Dev + Unit test est.]]/表格1_32[[#This Row],[Full Time Estimate(%)]])</f>
        <v>46210</v>
      </c>
      <c r="N47" s="19"/>
    </row>
    <row r="48" spans="1:14">
      <c r="A48" s="10" t="s">
        <v>376</v>
      </c>
      <c r="B48" s="8" t="s">
        <v>375</v>
      </c>
      <c r="C48" s="28"/>
      <c r="D48" s="28"/>
      <c r="E48" s="20" t="s">
        <v>401</v>
      </c>
      <c r="F48" s="7">
        <v>5</v>
      </c>
      <c r="G48" s="34">
        <v>9</v>
      </c>
      <c r="H48" s="4" t="e">
        <f>WORKDAY(I47,#REF!)</f>
        <v>#REF!</v>
      </c>
      <c r="I48" s="5" t="e">
        <f>WORKDAY(表格1_32[[#This Row],[Detailed req est. 2]],#REF!)</f>
        <v>#REF!</v>
      </c>
      <c r="J48" s="30">
        <v>2</v>
      </c>
      <c r="K48" s="9"/>
      <c r="L48" s="5">
        <f>WORKDAY(M47,表格1_32[[#This Row],[Detailed req est. ]]/表格1_32[[#This Row],[Full Time Estimate(%)]])</f>
        <v>46212</v>
      </c>
      <c r="M48" s="5">
        <f>WORKDAY(表格1_32[[#This Row],[Req ETA]],表格1_32[[#This Row],[Dev + Unit test est.]]/表格1_32[[#This Row],[Full Time Estimate(%)]])</f>
        <v>46218</v>
      </c>
      <c r="N48" s="5" t="str">
        <f>"07/31/2026"</f>
        <v>07/31/2026</v>
      </c>
    </row>
  </sheetData>
  <phoneticPr fontId="1" type="noConversion"/>
  <dataValidations count="1">
    <dataValidation type="list" allowBlank="1" showInputMessage="1" showErrorMessage="1" sqref="K2:K13" xr:uid="{B2F86715-ED5C-4965-ADA4-EC635829688D}">
      <formula1>"Collecting Requirements, In Development, In Unit Testing, in UAT, Go-Live"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2178-AB74-4887-9EA9-0F87D4C64E69}">
  <dimension ref="A1:K46"/>
  <sheetViews>
    <sheetView topLeftCell="A8" zoomScale="70" zoomScaleNormal="70" workbookViewId="0">
      <selection activeCell="C46" sqref="C46"/>
    </sheetView>
  </sheetViews>
  <sheetFormatPr defaultRowHeight="15.75"/>
  <cols>
    <col min="1" max="1" width="15.7109375" customWidth="1"/>
    <col min="2" max="2" width="38.85546875" customWidth="1"/>
    <col min="3" max="3" width="58" customWidth="1"/>
    <col min="4" max="4" width="14.7109375" customWidth="1"/>
    <col min="5" max="5" width="12.85546875" style="26" customWidth="1"/>
    <col min="6" max="6" width="20" customWidth="1"/>
    <col min="7" max="7" width="23" customWidth="1"/>
    <col min="8" max="8" width="13.28515625" customWidth="1"/>
    <col min="9" max="9" width="16.140625" customWidth="1"/>
    <col min="10" max="10" width="13.28515625" customWidth="1"/>
    <col min="11" max="11" width="15.140625" customWidth="1"/>
  </cols>
  <sheetData>
    <row r="1" spans="1:11" s="17" customFormat="1" ht="16.5">
      <c r="A1" s="15" t="s">
        <v>340</v>
      </c>
      <c r="B1" s="15" t="s">
        <v>341</v>
      </c>
      <c r="C1" s="16" t="s">
        <v>344</v>
      </c>
      <c r="D1" s="16" t="s">
        <v>46</v>
      </c>
      <c r="E1" s="16" t="s">
        <v>84</v>
      </c>
      <c r="F1" s="15" t="s">
        <v>345</v>
      </c>
      <c r="G1" s="15" t="s">
        <v>346</v>
      </c>
      <c r="H1" s="15" t="s">
        <v>350</v>
      </c>
      <c r="I1" s="15" t="s">
        <v>351</v>
      </c>
      <c r="J1" s="15" t="s">
        <v>352</v>
      </c>
      <c r="K1" s="15" t="s">
        <v>353</v>
      </c>
    </row>
    <row r="2" spans="1:11" ht="16.5">
      <c r="A2" s="1" t="s">
        <v>354</v>
      </c>
      <c r="B2" s="1" t="s">
        <v>329</v>
      </c>
      <c r="C2" s="21" t="s">
        <v>355</v>
      </c>
      <c r="D2" s="21">
        <v>3</v>
      </c>
      <c r="E2" s="1">
        <v>5</v>
      </c>
      <c r="F2" s="4">
        <v>45931</v>
      </c>
      <c r="G2" s="4">
        <v>45960</v>
      </c>
      <c r="H2" s="6" t="s">
        <v>356</v>
      </c>
      <c r="I2" s="5">
        <f>G2+14</f>
        <v>45974</v>
      </c>
      <c r="J2" s="5">
        <f t="shared" ref="J2:J38" si="0">G2+7</f>
        <v>45967</v>
      </c>
      <c r="K2" s="5">
        <f t="shared" ref="K2:K46" si="1">J2+14</f>
        <v>45981</v>
      </c>
    </row>
    <row r="3" spans="1:11" ht="16.5">
      <c r="A3" s="1" t="s">
        <v>354</v>
      </c>
      <c r="B3" s="1" t="s">
        <v>329</v>
      </c>
      <c r="C3" s="21" t="s">
        <v>357</v>
      </c>
      <c r="D3" s="21">
        <v>3</v>
      </c>
      <c r="E3" s="1">
        <v>5</v>
      </c>
      <c r="F3" s="4">
        <v>45931</v>
      </c>
      <c r="G3" s="4">
        <v>45960</v>
      </c>
      <c r="H3" s="6" t="s">
        <v>356</v>
      </c>
      <c r="I3" s="5">
        <f>G3+14</f>
        <v>45974</v>
      </c>
      <c r="J3" s="5">
        <f t="shared" si="0"/>
        <v>45967</v>
      </c>
      <c r="K3" s="5">
        <f t="shared" si="1"/>
        <v>45981</v>
      </c>
    </row>
    <row r="4" spans="1:11" ht="16.5">
      <c r="A4" s="1" t="s">
        <v>354</v>
      </c>
      <c r="B4" s="1" t="s">
        <v>329</v>
      </c>
      <c r="C4" s="21" t="s">
        <v>358</v>
      </c>
      <c r="D4" s="21">
        <v>3</v>
      </c>
      <c r="E4" s="1">
        <v>5</v>
      </c>
      <c r="F4" s="4">
        <v>45931</v>
      </c>
      <c r="G4" s="4">
        <v>45960</v>
      </c>
      <c r="H4" s="6" t="s">
        <v>356</v>
      </c>
      <c r="I4" s="5">
        <f>G4+14</f>
        <v>45974</v>
      </c>
      <c r="J4" s="5">
        <f t="shared" si="0"/>
        <v>45967</v>
      </c>
      <c r="K4" s="5">
        <f t="shared" si="1"/>
        <v>45981</v>
      </c>
    </row>
    <row r="5" spans="1:11" ht="16.5">
      <c r="A5" s="1" t="s">
        <v>354</v>
      </c>
      <c r="B5" s="1" t="s">
        <v>329</v>
      </c>
      <c r="C5" s="2" t="s">
        <v>402</v>
      </c>
      <c r="D5" s="1">
        <v>4</v>
      </c>
      <c r="E5" s="1">
        <v>10</v>
      </c>
      <c r="F5" s="4">
        <f>F4+E4+E3+E2+4</f>
        <v>45950</v>
      </c>
      <c r="G5" s="5">
        <f>WORKDAY(表格1_3[[#This Row],[Detailed req est. ]],表格1_3[[#This Row],[Mandate]])</f>
        <v>45964</v>
      </c>
      <c r="H5" s="6" t="s">
        <v>356</v>
      </c>
      <c r="I5" s="4">
        <v>45973</v>
      </c>
      <c r="J5" s="5">
        <f t="shared" si="0"/>
        <v>45971</v>
      </c>
      <c r="K5" s="5">
        <f t="shared" si="1"/>
        <v>45985</v>
      </c>
    </row>
    <row r="6" spans="1:11" ht="16.5">
      <c r="A6" s="1" t="s">
        <v>354</v>
      </c>
      <c r="B6" s="1" t="s">
        <v>329</v>
      </c>
      <c r="C6" s="2" t="s">
        <v>403</v>
      </c>
      <c r="D6" s="1">
        <v>2</v>
      </c>
      <c r="E6" s="1">
        <v>5</v>
      </c>
      <c r="F6" s="4">
        <f>WORKDAY(G5,表格1_3[[#This Row],[BA]])</f>
        <v>45966</v>
      </c>
      <c r="G6" s="5">
        <f>WORKDAY(表格1_3[[#This Row],[Detailed req est. ]],表格1_3[[#This Row],[Mandate]])</f>
        <v>45973</v>
      </c>
      <c r="H6" s="6" t="s">
        <v>362</v>
      </c>
      <c r="I6" s="5">
        <f>F6</f>
        <v>45966</v>
      </c>
      <c r="J6" s="5">
        <f t="shared" si="0"/>
        <v>45980</v>
      </c>
      <c r="K6" s="5">
        <f t="shared" si="1"/>
        <v>45994</v>
      </c>
    </row>
    <row r="7" spans="1:11" ht="16.5">
      <c r="A7" s="1" t="s">
        <v>354</v>
      </c>
      <c r="B7" s="1" t="s">
        <v>329</v>
      </c>
      <c r="C7" s="2" t="s">
        <v>404</v>
      </c>
      <c r="D7" s="1">
        <v>2</v>
      </c>
      <c r="E7" s="1">
        <v>5</v>
      </c>
      <c r="F7" s="4">
        <f>WORKDAY(G6,表格1_3[[#This Row],[BA]])</f>
        <v>45975</v>
      </c>
      <c r="G7" s="5">
        <f>WORKDAY(表格1_3[[#This Row],[Detailed req est. ]],表格1_3[[#This Row],[Mandate]])</f>
        <v>45982</v>
      </c>
      <c r="H7" s="6"/>
      <c r="I7" s="5">
        <f>F7</f>
        <v>45975</v>
      </c>
      <c r="J7" s="5">
        <f t="shared" si="0"/>
        <v>45989</v>
      </c>
      <c r="K7" s="5">
        <f t="shared" si="1"/>
        <v>46003</v>
      </c>
    </row>
    <row r="8" spans="1:11" ht="16.5">
      <c r="A8" s="1" t="s">
        <v>354</v>
      </c>
      <c r="B8" s="1" t="s">
        <v>329</v>
      </c>
      <c r="C8" s="2" t="s">
        <v>405</v>
      </c>
      <c r="D8" s="1">
        <v>2</v>
      </c>
      <c r="E8" s="1">
        <v>3</v>
      </c>
      <c r="F8" s="4">
        <f>WORKDAY(G7,表格1_3[[#This Row],[BA]])</f>
        <v>45986</v>
      </c>
      <c r="G8" s="5">
        <f>WORKDAY(表格1_3[[#This Row],[Detailed req est. ]],表格1_3[[#This Row],[Mandate]])</f>
        <v>45989</v>
      </c>
      <c r="H8" s="6"/>
      <c r="I8" s="5">
        <f>F8</f>
        <v>45986</v>
      </c>
      <c r="J8" s="5">
        <f t="shared" si="0"/>
        <v>45996</v>
      </c>
      <c r="K8" s="5">
        <f t="shared" si="1"/>
        <v>46010</v>
      </c>
    </row>
    <row r="9" spans="1:11" ht="16.5">
      <c r="A9" s="1" t="s">
        <v>354</v>
      </c>
      <c r="B9" s="1" t="s">
        <v>329</v>
      </c>
      <c r="C9" s="2" t="s">
        <v>406</v>
      </c>
      <c r="D9" s="1">
        <v>2</v>
      </c>
      <c r="E9" s="1">
        <v>3</v>
      </c>
      <c r="F9" s="4">
        <f>WORKDAY(G8,表格1_3[[#This Row],[BA]])</f>
        <v>45993</v>
      </c>
      <c r="G9" s="5">
        <f>WORKDAY(表格1_3[[#This Row],[Detailed req est. ]],表格1_3[[#This Row],[Mandate]])</f>
        <v>45996</v>
      </c>
      <c r="H9" s="6"/>
      <c r="I9" s="5">
        <f>F9</f>
        <v>45993</v>
      </c>
      <c r="J9" s="5">
        <f t="shared" si="0"/>
        <v>46003</v>
      </c>
      <c r="K9" s="5">
        <f t="shared" si="1"/>
        <v>46017</v>
      </c>
    </row>
    <row r="10" spans="1:11" ht="16.5">
      <c r="A10" s="1" t="s">
        <v>354</v>
      </c>
      <c r="B10" s="1" t="s">
        <v>329</v>
      </c>
      <c r="C10" s="2" t="s">
        <v>317</v>
      </c>
      <c r="D10" s="1">
        <v>4</v>
      </c>
      <c r="E10" s="1">
        <v>10</v>
      </c>
      <c r="F10" s="4">
        <f>WORKDAY(G9,表格1_3[[#This Row],[BA]])</f>
        <v>46002</v>
      </c>
      <c r="G10" s="5">
        <f>WORKDAY(表格1_3[[#This Row],[Detailed req est. ]],表格1_3[[#This Row],[Mandate]])</f>
        <v>46016</v>
      </c>
      <c r="H10" s="6"/>
      <c r="I10" s="4">
        <v>46031</v>
      </c>
      <c r="J10" s="5">
        <f t="shared" si="0"/>
        <v>46023</v>
      </c>
      <c r="K10" s="5">
        <f t="shared" si="1"/>
        <v>46037</v>
      </c>
    </row>
    <row r="11" spans="1:11" ht="16.5">
      <c r="A11" s="1" t="s">
        <v>354</v>
      </c>
      <c r="B11" s="1" t="s">
        <v>329</v>
      </c>
      <c r="C11" s="3" t="s">
        <v>368</v>
      </c>
      <c r="D11" s="27">
        <v>2</v>
      </c>
      <c r="E11" s="1">
        <v>3</v>
      </c>
      <c r="F11" s="4">
        <f>WORKDAY(G10,表格1_3[[#This Row],[BA]])</f>
        <v>46020</v>
      </c>
      <c r="G11" s="5">
        <f>WORKDAY(表格1_3[[#This Row],[Detailed req est. ]],表格1_3[[#This Row],[Mandate]])</f>
        <v>46023</v>
      </c>
      <c r="H11" s="6"/>
      <c r="I11" s="5">
        <v>46049</v>
      </c>
      <c r="J11" s="5">
        <f t="shared" si="0"/>
        <v>46030</v>
      </c>
      <c r="K11" s="5">
        <f t="shared" si="1"/>
        <v>46044</v>
      </c>
    </row>
    <row r="12" spans="1:11" ht="16.5">
      <c r="A12" s="1" t="s">
        <v>354</v>
      </c>
      <c r="B12" s="1" t="s">
        <v>329</v>
      </c>
      <c r="C12" s="3" t="s">
        <v>370</v>
      </c>
      <c r="D12" s="27">
        <v>2</v>
      </c>
      <c r="E12" s="1">
        <v>5</v>
      </c>
      <c r="F12" s="4">
        <f>WORKDAY(G11,表格1_3[[#This Row],[BA]])</f>
        <v>46027</v>
      </c>
      <c r="G12" s="5">
        <f>WORKDAY(表格1_3[[#This Row],[Detailed req est. ]],表格1_3[[#This Row],[Mandate]])</f>
        <v>46034</v>
      </c>
      <c r="H12" s="6"/>
      <c r="I12" s="5">
        <v>46057</v>
      </c>
      <c r="J12" s="5">
        <f t="shared" si="0"/>
        <v>46041</v>
      </c>
      <c r="K12" s="5">
        <f t="shared" si="1"/>
        <v>46055</v>
      </c>
    </row>
    <row r="13" spans="1:11">
      <c r="A13" s="1" t="s">
        <v>354</v>
      </c>
      <c r="B13" s="1" t="s">
        <v>371</v>
      </c>
      <c r="C13" s="21" t="s">
        <v>355</v>
      </c>
      <c r="D13" s="21">
        <v>2</v>
      </c>
      <c r="E13" s="1">
        <v>4</v>
      </c>
      <c r="F13" s="4">
        <f>WORKDAY(G12,表格1_3[[#This Row],[BA]])</f>
        <v>46036</v>
      </c>
      <c r="G13" s="5">
        <f>WORKDAY(表格1_3[[#This Row],[Detailed req est. ]],表格1_3[[#This Row],[Mandate]])</f>
        <v>46042</v>
      </c>
      <c r="H13" s="12"/>
      <c r="I13" s="5">
        <f>G13+14</f>
        <v>46056</v>
      </c>
      <c r="J13" s="5">
        <f t="shared" si="0"/>
        <v>46049</v>
      </c>
      <c r="K13" s="5">
        <f t="shared" si="1"/>
        <v>46063</v>
      </c>
    </row>
    <row r="14" spans="1:11">
      <c r="A14" s="1" t="s">
        <v>354</v>
      </c>
      <c r="B14" s="1" t="s">
        <v>371</v>
      </c>
      <c r="C14" s="21" t="s">
        <v>357</v>
      </c>
      <c r="D14" s="21">
        <v>2</v>
      </c>
      <c r="E14" s="1">
        <v>6</v>
      </c>
      <c r="F14" s="4">
        <f>WORKDAY(G13,表格1_3[[#This Row],[BA]])</f>
        <v>46044</v>
      </c>
      <c r="G14" s="5">
        <f>WORKDAY(表格1_3[[#This Row],[Detailed req est. ]],表格1_3[[#This Row],[Mandate]])</f>
        <v>46052</v>
      </c>
      <c r="H14" s="12"/>
      <c r="I14" s="5">
        <f>G14+14</f>
        <v>46066</v>
      </c>
      <c r="J14" s="5">
        <f t="shared" si="0"/>
        <v>46059</v>
      </c>
      <c r="K14" s="5">
        <f t="shared" si="1"/>
        <v>46073</v>
      </c>
    </row>
    <row r="15" spans="1:11">
      <c r="A15" s="1" t="s">
        <v>354</v>
      </c>
      <c r="B15" s="1" t="s">
        <v>371</v>
      </c>
      <c r="C15" s="21" t="s">
        <v>358</v>
      </c>
      <c r="D15" s="21">
        <v>2</v>
      </c>
      <c r="E15" s="1">
        <v>3</v>
      </c>
      <c r="F15" s="4">
        <f>WORKDAY(G14,表格1_3[[#This Row],[BA]])</f>
        <v>46056</v>
      </c>
      <c r="G15" s="5">
        <f>WORKDAY(表格1_3[[#This Row],[Detailed req est. ]],表格1_3[[#This Row],[Mandate]])</f>
        <v>46059</v>
      </c>
      <c r="H15" s="14"/>
      <c r="I15" s="5">
        <f>G15+14</f>
        <v>46073</v>
      </c>
      <c r="J15" s="5">
        <f t="shared" si="0"/>
        <v>46066</v>
      </c>
      <c r="K15" s="5">
        <f t="shared" si="1"/>
        <v>46080</v>
      </c>
    </row>
    <row r="16" spans="1:11">
      <c r="A16" s="1" t="s">
        <v>354</v>
      </c>
      <c r="B16" s="1" t="s">
        <v>371</v>
      </c>
      <c r="C16" s="1" t="s">
        <v>407</v>
      </c>
      <c r="D16" s="1">
        <v>5</v>
      </c>
      <c r="E16" s="1">
        <v>15</v>
      </c>
      <c r="F16" s="4">
        <f>WORKDAY(G15,表格1_3[[#This Row],[BA]])</f>
        <v>46066</v>
      </c>
      <c r="G16" s="5">
        <f>WORKDAY(表格1_3[[#This Row],[Detailed req est. ]],表格1_3[[#This Row],[Mandate]])</f>
        <v>46087</v>
      </c>
      <c r="H16" s="13"/>
      <c r="I16" s="5">
        <v>46071</v>
      </c>
      <c r="J16" s="5">
        <f t="shared" si="0"/>
        <v>46094</v>
      </c>
      <c r="K16" s="5">
        <f t="shared" si="1"/>
        <v>46108</v>
      </c>
    </row>
    <row r="17" spans="1:11">
      <c r="A17" s="1" t="s">
        <v>354</v>
      </c>
      <c r="B17" s="1" t="s">
        <v>371</v>
      </c>
      <c r="C17" s="2" t="s">
        <v>373</v>
      </c>
      <c r="D17" s="1">
        <v>5</v>
      </c>
      <c r="E17" s="1">
        <v>15</v>
      </c>
      <c r="F17" s="4">
        <f>WORKDAY(G16,表格1_3[[#This Row],[BA]])</f>
        <v>46094</v>
      </c>
      <c r="G17" s="5">
        <f>WORKDAY(表格1_3[[#This Row],[Detailed req est. ]],表格1_3[[#This Row],[Mandate]])</f>
        <v>46115</v>
      </c>
      <c r="H17" s="13"/>
      <c r="I17" s="5">
        <v>46099</v>
      </c>
      <c r="J17" s="5">
        <f t="shared" si="0"/>
        <v>46122</v>
      </c>
      <c r="K17" s="5">
        <f t="shared" si="1"/>
        <v>46136</v>
      </c>
    </row>
    <row r="18" spans="1:11">
      <c r="A18" s="1" t="s">
        <v>354</v>
      </c>
      <c r="B18" s="1" t="s">
        <v>371</v>
      </c>
      <c r="C18" s="3" t="s">
        <v>374</v>
      </c>
      <c r="D18" s="27">
        <v>5</v>
      </c>
      <c r="E18" s="1">
        <v>15</v>
      </c>
      <c r="F18" s="4">
        <f>WORKDAY(G17,表格1_3[[#This Row],[BA]])</f>
        <v>46122</v>
      </c>
      <c r="G18" s="5">
        <f>WORKDAY(表格1_3[[#This Row],[Detailed req est. ]],表格1_3[[#This Row],[Mandate]])</f>
        <v>46143</v>
      </c>
      <c r="H18" s="13"/>
      <c r="I18" s="5">
        <v>46127</v>
      </c>
      <c r="J18" s="5">
        <f t="shared" si="0"/>
        <v>46150</v>
      </c>
      <c r="K18" s="5">
        <f t="shared" si="1"/>
        <v>46164</v>
      </c>
    </row>
    <row r="19" spans="1:11">
      <c r="A19" s="1" t="s">
        <v>354</v>
      </c>
      <c r="B19" s="8" t="s">
        <v>375</v>
      </c>
      <c r="C19" s="21" t="s">
        <v>358</v>
      </c>
      <c r="D19" s="21">
        <v>2</v>
      </c>
      <c r="E19" s="1">
        <v>5</v>
      </c>
      <c r="F19" s="4">
        <f>WORKDAY(G18,表格1_3[[#This Row],[BA]])</f>
        <v>46147</v>
      </c>
      <c r="G19" s="5">
        <f>WORKDAY(表格1_3[[#This Row],[Detailed req est. ]],表格1_3[[#This Row],[Mandate]])</f>
        <v>46154</v>
      </c>
      <c r="H19" s="12"/>
      <c r="I19" s="5">
        <f>G19+14</f>
        <v>46168</v>
      </c>
      <c r="J19" s="5">
        <f t="shared" si="0"/>
        <v>46161</v>
      </c>
      <c r="K19" s="5">
        <f t="shared" si="1"/>
        <v>46175</v>
      </c>
    </row>
    <row r="20" spans="1:11">
      <c r="A20" s="1" t="s">
        <v>354</v>
      </c>
      <c r="B20" s="8" t="s">
        <v>375</v>
      </c>
      <c r="C20" s="21" t="s">
        <v>355</v>
      </c>
      <c r="D20" s="21">
        <v>2</v>
      </c>
      <c r="E20" s="1">
        <v>7</v>
      </c>
      <c r="F20" s="4">
        <f>WORKDAY(G19,表格1_3[[#This Row],[BA]])</f>
        <v>46156</v>
      </c>
      <c r="G20" s="5">
        <f>WORKDAY(表格1_3[[#This Row],[Detailed req est. ]],表格1_3[[#This Row],[Mandate]])</f>
        <v>46167</v>
      </c>
      <c r="H20" s="12"/>
      <c r="I20" s="5">
        <f>G20+14</f>
        <v>46181</v>
      </c>
      <c r="J20" s="5">
        <f t="shared" si="0"/>
        <v>46174</v>
      </c>
      <c r="K20" s="5">
        <f t="shared" si="1"/>
        <v>46188</v>
      </c>
    </row>
    <row r="21" spans="1:11">
      <c r="A21" s="1" t="s">
        <v>354</v>
      </c>
      <c r="B21" s="8" t="s">
        <v>375</v>
      </c>
      <c r="C21" s="21" t="s">
        <v>357</v>
      </c>
      <c r="D21" s="21">
        <v>2</v>
      </c>
      <c r="E21" s="1">
        <v>4</v>
      </c>
      <c r="F21" s="4">
        <f>WORKDAY(G20,表格1_3[[#This Row],[BA]])</f>
        <v>46169</v>
      </c>
      <c r="G21" s="5">
        <f>WORKDAY(表格1_3[[#This Row],[Detailed req est. ]],表格1_3[[#This Row],[Mandate]])</f>
        <v>46175</v>
      </c>
      <c r="H21" s="12"/>
      <c r="I21" s="5">
        <f>G21+14</f>
        <v>46189</v>
      </c>
      <c r="J21" s="5">
        <f t="shared" si="0"/>
        <v>46182</v>
      </c>
      <c r="K21" s="5">
        <f t="shared" si="1"/>
        <v>46196</v>
      </c>
    </row>
    <row r="22" spans="1:11">
      <c r="A22" s="8" t="s">
        <v>376</v>
      </c>
      <c r="B22" s="8" t="s">
        <v>375</v>
      </c>
      <c r="C22" s="18" t="s">
        <v>377</v>
      </c>
      <c r="D22" s="1">
        <v>2</v>
      </c>
      <c r="E22" s="9">
        <v>4</v>
      </c>
      <c r="F22" s="4">
        <f>WORKDAY(G21,表格1_3[[#This Row],[BA]])</f>
        <v>46177</v>
      </c>
      <c r="G22" s="5">
        <f>WORKDAY(表格1_3[[#This Row],[Detailed req est. ]],表格1_3[[#This Row],[Mandate]])</f>
        <v>46183</v>
      </c>
      <c r="H22" s="9"/>
      <c r="I22" s="5">
        <v>46259</v>
      </c>
      <c r="J22" s="5">
        <f t="shared" si="0"/>
        <v>46190</v>
      </c>
      <c r="K22" s="5">
        <f t="shared" si="1"/>
        <v>46204</v>
      </c>
    </row>
    <row r="23" spans="1:11">
      <c r="A23" s="8" t="s">
        <v>376</v>
      </c>
      <c r="B23" s="8" t="s">
        <v>375</v>
      </c>
      <c r="C23" s="18" t="s">
        <v>378</v>
      </c>
      <c r="D23" s="1">
        <v>2</v>
      </c>
      <c r="E23" s="9">
        <v>4</v>
      </c>
      <c r="F23" s="4">
        <f>WORKDAY(G22,表格1_3[[#This Row],[BA]])</f>
        <v>46185</v>
      </c>
      <c r="G23" s="5">
        <f>WORKDAY(表格1_3[[#This Row],[Detailed req est. ]],表格1_3[[#This Row],[Mandate]])</f>
        <v>46191</v>
      </c>
      <c r="H23" s="9"/>
      <c r="I23" s="5">
        <v>46269</v>
      </c>
      <c r="J23" s="5">
        <f t="shared" si="0"/>
        <v>46198</v>
      </c>
      <c r="K23" s="5">
        <f t="shared" si="1"/>
        <v>46212</v>
      </c>
    </row>
    <row r="24" spans="1:11">
      <c r="A24" s="8" t="s">
        <v>376</v>
      </c>
      <c r="B24" s="8" t="s">
        <v>375</v>
      </c>
      <c r="C24" s="18" t="s">
        <v>379</v>
      </c>
      <c r="D24" s="1">
        <v>2</v>
      </c>
      <c r="E24" s="24">
        <v>5</v>
      </c>
      <c r="F24" s="4">
        <f>WORKDAY(G23,表格1_3[[#This Row],[BA]])</f>
        <v>46195</v>
      </c>
      <c r="G24" s="5">
        <f>WORKDAY(表格1_3[[#This Row],[Detailed req est. ]],表格1_3[[#This Row],[Mandate]])</f>
        <v>46202</v>
      </c>
      <c r="H24" s="9"/>
      <c r="I24" s="5">
        <v>46281</v>
      </c>
      <c r="J24" s="5">
        <f t="shared" si="0"/>
        <v>46209</v>
      </c>
      <c r="K24" s="5">
        <f t="shared" si="1"/>
        <v>46223</v>
      </c>
    </row>
    <row r="25" spans="1:11">
      <c r="A25" s="8" t="s">
        <v>376</v>
      </c>
      <c r="B25" s="8" t="s">
        <v>375</v>
      </c>
      <c r="C25" s="18" t="s">
        <v>380</v>
      </c>
      <c r="D25" s="1">
        <v>4</v>
      </c>
      <c r="E25" s="9">
        <v>10</v>
      </c>
      <c r="F25" s="4">
        <f>WORKDAY(G24,表格1_3[[#This Row],[BA]])</f>
        <v>46206</v>
      </c>
      <c r="G25" s="5">
        <f>WORKDAY(表格1_3[[#This Row],[Detailed req est. ]],表格1_3[[#This Row],[Mandate]])</f>
        <v>46220</v>
      </c>
      <c r="H25" s="9"/>
      <c r="I25" s="5">
        <v>46293</v>
      </c>
      <c r="J25" s="5">
        <f t="shared" si="0"/>
        <v>46227</v>
      </c>
      <c r="K25" s="5">
        <f t="shared" si="1"/>
        <v>46241</v>
      </c>
    </row>
    <row r="26" spans="1:11">
      <c r="A26" s="8" t="s">
        <v>376</v>
      </c>
      <c r="B26" s="8" t="s">
        <v>375</v>
      </c>
      <c r="C26" s="18" t="s">
        <v>381</v>
      </c>
      <c r="D26" s="1">
        <v>2</v>
      </c>
      <c r="E26" s="9">
        <v>5</v>
      </c>
      <c r="F26" s="4">
        <f>WORKDAY(G25,表格1_3[[#This Row],[BA]])</f>
        <v>46224</v>
      </c>
      <c r="G26" s="5">
        <f>WORKDAY(表格1_3[[#This Row],[Detailed req est. ]],表格1_3[[#This Row],[Mandate]])</f>
        <v>46231</v>
      </c>
      <c r="H26" s="9"/>
      <c r="I26" s="5">
        <v>46303</v>
      </c>
      <c r="J26" s="5">
        <f t="shared" si="0"/>
        <v>46238</v>
      </c>
      <c r="K26" s="5">
        <f t="shared" si="1"/>
        <v>46252</v>
      </c>
    </row>
    <row r="27" spans="1:11">
      <c r="A27" s="8" t="s">
        <v>376</v>
      </c>
      <c r="B27" s="8" t="s">
        <v>375</v>
      </c>
      <c r="C27" s="18" t="s">
        <v>382</v>
      </c>
      <c r="D27" s="1">
        <v>4</v>
      </c>
      <c r="E27" s="24">
        <v>10</v>
      </c>
      <c r="F27" s="4">
        <f>WORKDAY(G26,表格1_3[[#This Row],[BA]])</f>
        <v>46237</v>
      </c>
      <c r="G27" s="5">
        <f>WORKDAY(表格1_3[[#This Row],[Detailed req est. ]],表格1_3[[#This Row],[Mandate]])</f>
        <v>46251</v>
      </c>
      <c r="H27" s="9"/>
      <c r="I27" s="5">
        <v>46315</v>
      </c>
      <c r="J27" s="5">
        <f t="shared" si="0"/>
        <v>46258</v>
      </c>
      <c r="K27" s="5">
        <f t="shared" si="1"/>
        <v>46272</v>
      </c>
    </row>
    <row r="28" spans="1:11">
      <c r="A28" s="8" t="s">
        <v>376</v>
      </c>
      <c r="B28" s="8" t="s">
        <v>375</v>
      </c>
      <c r="C28" s="18" t="s">
        <v>383</v>
      </c>
      <c r="D28" s="1">
        <v>5</v>
      </c>
      <c r="E28" s="9">
        <v>15</v>
      </c>
      <c r="F28" s="4">
        <f>WORKDAY(G27,表格1_3[[#This Row],[BA]])</f>
        <v>46258</v>
      </c>
      <c r="G28" s="5">
        <f>WORKDAY(表格1_3[[#This Row],[Detailed req est. ]],表格1_3[[#This Row],[Mandate]])</f>
        <v>46279</v>
      </c>
      <c r="H28" s="9"/>
      <c r="I28" s="5">
        <v>46325</v>
      </c>
      <c r="J28" s="5">
        <f t="shared" si="0"/>
        <v>46286</v>
      </c>
      <c r="K28" s="5">
        <f t="shared" si="1"/>
        <v>46300</v>
      </c>
    </row>
    <row r="29" spans="1:11">
      <c r="A29" s="8" t="s">
        <v>376</v>
      </c>
      <c r="B29" s="8" t="s">
        <v>375</v>
      </c>
      <c r="C29" s="18" t="s">
        <v>384</v>
      </c>
      <c r="D29" s="1">
        <v>4</v>
      </c>
      <c r="E29" s="9">
        <v>10</v>
      </c>
      <c r="F29" s="4">
        <f>WORKDAY(G28,表格1_3[[#This Row],[BA]])</f>
        <v>46283</v>
      </c>
      <c r="G29" s="5">
        <f>WORKDAY(表格1_3[[#This Row],[Detailed req est. ]],表格1_3[[#This Row],[Mandate]])</f>
        <v>46297</v>
      </c>
      <c r="H29" s="9"/>
      <c r="I29" s="5">
        <v>46339</v>
      </c>
      <c r="J29" s="5">
        <f t="shared" si="0"/>
        <v>46304</v>
      </c>
      <c r="K29" s="5">
        <f t="shared" si="1"/>
        <v>46318</v>
      </c>
    </row>
    <row r="30" spans="1:11">
      <c r="A30" s="8" t="s">
        <v>376</v>
      </c>
      <c r="B30" s="8" t="s">
        <v>375</v>
      </c>
      <c r="C30" s="18" t="s">
        <v>385</v>
      </c>
      <c r="D30" s="1">
        <v>3</v>
      </c>
      <c r="E30" s="9">
        <v>5</v>
      </c>
      <c r="F30" s="4">
        <f>WORKDAY(G29,表格1_3[[#This Row],[BA]])</f>
        <v>46302</v>
      </c>
      <c r="G30" s="5">
        <f>WORKDAY(表格1_3[[#This Row],[Detailed req est. ]],表格1_3[[#This Row],[Mandate]])</f>
        <v>46309</v>
      </c>
      <c r="H30" s="9"/>
      <c r="I30" s="4">
        <v>46358</v>
      </c>
      <c r="J30" s="5">
        <f t="shared" si="0"/>
        <v>46316</v>
      </c>
      <c r="K30" s="5">
        <f t="shared" si="1"/>
        <v>46330</v>
      </c>
    </row>
    <row r="31" spans="1:11">
      <c r="A31" s="10" t="s">
        <v>376</v>
      </c>
      <c r="B31" s="8" t="s">
        <v>375</v>
      </c>
      <c r="C31" s="18" t="s">
        <v>386</v>
      </c>
      <c r="D31" s="1">
        <v>2</v>
      </c>
      <c r="E31" s="9">
        <v>4</v>
      </c>
      <c r="F31" s="4">
        <f>WORKDAY(G30,表格1_3[[#This Row],[BA]])</f>
        <v>46311</v>
      </c>
      <c r="G31" s="5">
        <f>WORKDAY(表格1_3[[#This Row],[Detailed req est. ]],表格1_3[[#This Row],[Mandate]])</f>
        <v>46317</v>
      </c>
      <c r="H31" s="9"/>
      <c r="I31" s="5">
        <v>46367</v>
      </c>
      <c r="J31" s="5">
        <f t="shared" si="0"/>
        <v>46324</v>
      </c>
      <c r="K31" s="5">
        <f t="shared" si="1"/>
        <v>46338</v>
      </c>
    </row>
    <row r="32" spans="1:11">
      <c r="A32" s="10" t="s">
        <v>376</v>
      </c>
      <c r="B32" s="8" t="s">
        <v>375</v>
      </c>
      <c r="C32" s="18" t="s">
        <v>408</v>
      </c>
      <c r="D32" s="1">
        <v>2</v>
      </c>
      <c r="E32" s="9">
        <v>4</v>
      </c>
      <c r="F32" s="4">
        <f>WORKDAY(G31,表格1_3[[#This Row],[BA]])</f>
        <v>46321</v>
      </c>
      <c r="G32" s="5">
        <f>WORKDAY(表格1_3[[#This Row],[Detailed req est. ]],表格1_3[[#This Row],[Mandate]])</f>
        <v>46325</v>
      </c>
      <c r="H32" s="9"/>
      <c r="I32" s="5">
        <v>46377</v>
      </c>
      <c r="J32" s="5">
        <f t="shared" si="0"/>
        <v>46332</v>
      </c>
      <c r="K32" s="5">
        <f t="shared" si="1"/>
        <v>46346</v>
      </c>
    </row>
    <row r="33" spans="1:11">
      <c r="A33" s="10" t="s">
        <v>376</v>
      </c>
      <c r="B33" s="8" t="s">
        <v>375</v>
      </c>
      <c r="C33" s="18" t="s">
        <v>388</v>
      </c>
      <c r="D33" s="1">
        <v>3</v>
      </c>
      <c r="E33" s="9">
        <v>5</v>
      </c>
      <c r="F33" s="4">
        <f>WORKDAY(G32,表格1_3[[#This Row],[BA]])</f>
        <v>46330</v>
      </c>
      <c r="G33" s="5">
        <f>WORKDAY(表格1_3[[#This Row],[Detailed req est. ]],表格1_3[[#This Row],[Mandate]])</f>
        <v>46337</v>
      </c>
      <c r="H33" s="9"/>
      <c r="I33" s="5">
        <v>46385</v>
      </c>
      <c r="J33" s="5">
        <f t="shared" si="0"/>
        <v>46344</v>
      </c>
      <c r="K33" s="5">
        <f t="shared" si="1"/>
        <v>46358</v>
      </c>
    </row>
    <row r="34" spans="1:11">
      <c r="A34" s="10" t="s">
        <v>376</v>
      </c>
      <c r="B34" s="8" t="s">
        <v>375</v>
      </c>
      <c r="C34" s="18" t="s">
        <v>389</v>
      </c>
      <c r="D34" s="1">
        <v>3</v>
      </c>
      <c r="E34" s="9">
        <v>5</v>
      </c>
      <c r="F34" s="4">
        <f>WORKDAY(G33,表格1_3[[#This Row],[BA]])</f>
        <v>46342</v>
      </c>
      <c r="G34" s="5">
        <f>WORKDAY(表格1_3[[#This Row],[Detailed req est. ]],表格1_3[[#This Row],[Mandate]])</f>
        <v>46349</v>
      </c>
      <c r="H34" s="9"/>
      <c r="I34" s="5">
        <v>46393</v>
      </c>
      <c r="J34" s="5">
        <f t="shared" si="0"/>
        <v>46356</v>
      </c>
      <c r="K34" s="5">
        <f t="shared" si="1"/>
        <v>46370</v>
      </c>
    </row>
    <row r="35" spans="1:11">
      <c r="A35" s="10" t="s">
        <v>376</v>
      </c>
      <c r="B35" s="8" t="s">
        <v>375</v>
      </c>
      <c r="C35" s="18" t="s">
        <v>390</v>
      </c>
      <c r="D35" s="1">
        <v>2</v>
      </c>
      <c r="E35" s="9">
        <v>3</v>
      </c>
      <c r="F35" s="4">
        <f>WORKDAY(G34,表格1_3[[#This Row],[BA]])</f>
        <v>46351</v>
      </c>
      <c r="G35" s="5">
        <f>WORKDAY(表格1_3[[#This Row],[Detailed req est. ]],表格1_3[[#This Row],[Mandate]])</f>
        <v>46356</v>
      </c>
      <c r="H35" s="9"/>
      <c r="I35" s="5">
        <v>46395</v>
      </c>
      <c r="J35" s="5">
        <f t="shared" si="0"/>
        <v>46363</v>
      </c>
      <c r="K35" s="5">
        <f t="shared" si="1"/>
        <v>46377</v>
      </c>
    </row>
    <row r="36" spans="1:11">
      <c r="A36" s="10" t="s">
        <v>376</v>
      </c>
      <c r="B36" s="8" t="s">
        <v>375</v>
      </c>
      <c r="C36" s="18" t="s">
        <v>391</v>
      </c>
      <c r="D36" s="1">
        <v>3</v>
      </c>
      <c r="E36" s="9">
        <v>5</v>
      </c>
      <c r="F36" s="4">
        <f>WORKDAY(G35,表格1_3[[#This Row],[BA]])</f>
        <v>46359</v>
      </c>
      <c r="G36" s="5">
        <f>WORKDAY(表格1_3[[#This Row],[Detailed req est. ]],表格1_3[[#This Row],[Mandate]])</f>
        <v>46366</v>
      </c>
      <c r="H36" s="9"/>
      <c r="I36" s="5">
        <v>46405</v>
      </c>
      <c r="J36" s="5">
        <f t="shared" si="0"/>
        <v>46373</v>
      </c>
      <c r="K36" s="5">
        <f t="shared" si="1"/>
        <v>46387</v>
      </c>
    </row>
    <row r="37" spans="1:11">
      <c r="A37" s="10" t="s">
        <v>376</v>
      </c>
      <c r="B37" s="8" t="s">
        <v>375</v>
      </c>
      <c r="C37" s="18" t="s">
        <v>392</v>
      </c>
      <c r="D37" s="1">
        <v>3</v>
      </c>
      <c r="E37" s="9">
        <v>5</v>
      </c>
      <c r="F37" s="4">
        <f>WORKDAY(G36,表格1_3[[#This Row],[BA]])</f>
        <v>46371</v>
      </c>
      <c r="G37" s="5">
        <f>WORKDAY(表格1_3[[#This Row],[Detailed req est. ]],表格1_3[[#This Row],[Mandate]])</f>
        <v>46378</v>
      </c>
      <c r="H37" s="9"/>
      <c r="I37" s="5">
        <v>46413</v>
      </c>
      <c r="J37" s="5">
        <f t="shared" si="0"/>
        <v>46385</v>
      </c>
      <c r="K37" s="5">
        <f t="shared" si="1"/>
        <v>46399</v>
      </c>
    </row>
    <row r="38" spans="1:11">
      <c r="A38" s="10" t="s">
        <v>376</v>
      </c>
      <c r="B38" s="8" t="s">
        <v>375</v>
      </c>
      <c r="C38" s="18" t="s">
        <v>393</v>
      </c>
      <c r="D38" s="1">
        <v>3</v>
      </c>
      <c r="E38" s="9">
        <v>5</v>
      </c>
      <c r="F38" s="4">
        <f>WORKDAY(G37,表格1_3[[#This Row],[BA]])</f>
        <v>46381</v>
      </c>
      <c r="G38" s="5">
        <f>WORKDAY(表格1_3[[#This Row],[Detailed req est. ]],表格1_3[[#This Row],[Mandate]])</f>
        <v>46388</v>
      </c>
      <c r="H38" s="9"/>
      <c r="I38" s="5">
        <v>46420</v>
      </c>
      <c r="J38" s="5">
        <f t="shared" si="0"/>
        <v>46395</v>
      </c>
      <c r="K38" s="5">
        <f t="shared" si="1"/>
        <v>46409</v>
      </c>
    </row>
    <row r="39" spans="1:11">
      <c r="A39" s="11" t="s">
        <v>354</v>
      </c>
      <c r="B39" s="8" t="s">
        <v>375</v>
      </c>
      <c r="C39" s="18" t="s">
        <v>394</v>
      </c>
      <c r="D39" s="1">
        <v>4</v>
      </c>
      <c r="E39" s="11">
        <v>10</v>
      </c>
      <c r="F39" s="4">
        <f>WORKDAY(G38,表格1_3[[#This Row],[BA]])</f>
        <v>46394</v>
      </c>
      <c r="G39" s="5">
        <f>WORKDAY(表格1_3[[#This Row],[Detailed req est. ]],表格1_3[[#This Row],[Mandate]])</f>
        <v>46408</v>
      </c>
      <c r="H39" s="11"/>
      <c r="I39" s="5">
        <v>46430</v>
      </c>
      <c r="J39" s="5">
        <f>I39+14</f>
        <v>46444</v>
      </c>
      <c r="K39" s="5">
        <f t="shared" si="1"/>
        <v>46458</v>
      </c>
    </row>
    <row r="40" spans="1:11">
      <c r="A40" s="1" t="s">
        <v>354</v>
      </c>
      <c r="B40" s="8" t="s">
        <v>375</v>
      </c>
      <c r="C40" s="18" t="s">
        <v>395</v>
      </c>
      <c r="D40" s="1">
        <v>4</v>
      </c>
      <c r="E40" s="1">
        <v>10</v>
      </c>
      <c r="F40" s="4">
        <f>WORKDAY(G39,表格1_3[[#This Row],[BA]])</f>
        <v>46414</v>
      </c>
      <c r="G40" s="5">
        <f>WORKDAY(表格1_3[[#This Row],[Detailed req est. ]],表格1_3[[#This Row],[Mandate]])</f>
        <v>46428</v>
      </c>
      <c r="H40" s="1"/>
      <c r="I40" s="5">
        <v>46451</v>
      </c>
      <c r="J40" s="5">
        <f>I40+14</f>
        <v>46465</v>
      </c>
      <c r="K40" s="5">
        <f t="shared" si="1"/>
        <v>46479</v>
      </c>
    </row>
    <row r="41" spans="1:11">
      <c r="A41" s="1" t="s">
        <v>354</v>
      </c>
      <c r="B41" s="8" t="s">
        <v>375</v>
      </c>
      <c r="C41" s="18" t="s">
        <v>396</v>
      </c>
      <c r="D41" s="1">
        <v>2</v>
      </c>
      <c r="E41" s="1">
        <v>4</v>
      </c>
      <c r="F41" s="4">
        <f>WORKDAY(G40,表格1_3[[#This Row],[BA]])</f>
        <v>46430</v>
      </c>
      <c r="G41" s="5">
        <f>WORKDAY(表格1_3[[#This Row],[Detailed req est. ]],表格1_3[[#This Row],[Mandate]])</f>
        <v>46436</v>
      </c>
      <c r="H41" s="1"/>
      <c r="I41" s="5">
        <v>46469</v>
      </c>
      <c r="J41" s="5">
        <f t="shared" ref="J41:J46" si="2">G41+7</f>
        <v>46443</v>
      </c>
      <c r="K41" s="5">
        <f t="shared" si="1"/>
        <v>46457</v>
      </c>
    </row>
    <row r="42" spans="1:11">
      <c r="A42" s="1" t="s">
        <v>354</v>
      </c>
      <c r="B42" s="8" t="s">
        <v>375</v>
      </c>
      <c r="C42" s="18" t="s">
        <v>397</v>
      </c>
      <c r="D42" s="1">
        <v>4</v>
      </c>
      <c r="E42" s="1">
        <v>10</v>
      </c>
      <c r="F42" s="4">
        <f>WORKDAY(G41,表格1_3[[#This Row],[BA]])</f>
        <v>46442</v>
      </c>
      <c r="G42" s="5">
        <f>WORKDAY(表格1_3[[#This Row],[Detailed req est. ]],表格1_3[[#This Row],[Mandate]])</f>
        <v>46456</v>
      </c>
      <c r="H42" s="13"/>
      <c r="I42" s="5">
        <v>46477</v>
      </c>
      <c r="J42" s="5">
        <f t="shared" si="2"/>
        <v>46463</v>
      </c>
      <c r="K42" s="5">
        <f t="shared" si="1"/>
        <v>46477</v>
      </c>
    </row>
    <row r="43" spans="1:11">
      <c r="A43" s="1" t="s">
        <v>354</v>
      </c>
      <c r="B43" s="8" t="s">
        <v>375</v>
      </c>
      <c r="C43" s="18" t="s">
        <v>398</v>
      </c>
      <c r="D43" s="1">
        <v>2</v>
      </c>
      <c r="E43" s="1">
        <v>5</v>
      </c>
      <c r="F43" s="4">
        <f>WORKDAY(G42,表格1_3[[#This Row],[BA]])</f>
        <v>46458</v>
      </c>
      <c r="G43" s="5">
        <f>WORKDAY(表格1_3[[#This Row],[Detailed req est. ]],表格1_3[[#This Row],[Mandate]])</f>
        <v>46465</v>
      </c>
      <c r="H43" s="13"/>
      <c r="I43" s="5">
        <v>46489</v>
      </c>
      <c r="J43" s="5">
        <f t="shared" si="2"/>
        <v>46472</v>
      </c>
      <c r="K43" s="5">
        <f t="shared" si="1"/>
        <v>46486</v>
      </c>
    </row>
    <row r="44" spans="1:11">
      <c r="A44" s="1" t="s">
        <v>354</v>
      </c>
      <c r="B44" s="8" t="s">
        <v>375</v>
      </c>
      <c r="C44" s="18" t="s">
        <v>399</v>
      </c>
      <c r="D44" s="1">
        <v>2</v>
      </c>
      <c r="E44" s="1">
        <v>5</v>
      </c>
      <c r="F44" s="4">
        <f>WORKDAY(G43,表格1_3[[#This Row],[BA]])</f>
        <v>46469</v>
      </c>
      <c r="G44" s="5">
        <f>WORKDAY(表格1_3[[#This Row],[Detailed req est. ]],表格1_3[[#This Row],[Mandate]])</f>
        <v>46476</v>
      </c>
      <c r="H44" s="13"/>
      <c r="I44" s="5">
        <v>46499</v>
      </c>
      <c r="J44" s="5">
        <f t="shared" si="2"/>
        <v>46483</v>
      </c>
      <c r="K44" s="5">
        <f t="shared" si="1"/>
        <v>46497</v>
      </c>
    </row>
    <row r="45" spans="1:11">
      <c r="A45" s="10" t="s">
        <v>376</v>
      </c>
      <c r="B45" s="8" t="s">
        <v>375</v>
      </c>
      <c r="C45" s="23" t="s">
        <v>400</v>
      </c>
      <c r="D45" s="22">
        <v>4</v>
      </c>
      <c r="E45" s="7">
        <v>10</v>
      </c>
      <c r="F45" s="4">
        <f>WORKDAY(G44,表格1_3[[#This Row],[BA]])</f>
        <v>46482</v>
      </c>
      <c r="G45" s="5">
        <f>WORKDAY(表格1_3[[#This Row],[Detailed req est. ]],表格1_3[[#This Row],[Mandate]])</f>
        <v>46496</v>
      </c>
      <c r="I45" s="5">
        <v>46500</v>
      </c>
      <c r="J45" s="19">
        <f t="shared" si="2"/>
        <v>46503</v>
      </c>
      <c r="K45" s="19">
        <f t="shared" si="1"/>
        <v>46517</v>
      </c>
    </row>
    <row r="46" spans="1:11">
      <c r="A46" s="10" t="s">
        <v>376</v>
      </c>
      <c r="B46" s="8" t="s">
        <v>375</v>
      </c>
      <c r="C46" s="20" t="s">
        <v>401</v>
      </c>
      <c r="D46" s="7">
        <v>5</v>
      </c>
      <c r="E46" s="25">
        <v>15</v>
      </c>
      <c r="F46" s="4">
        <f>WORKDAY(G45,表格1_3[[#This Row],[BA]])</f>
        <v>46503</v>
      </c>
      <c r="G46" s="5">
        <f>WORKDAY(表格1_3[[#This Row],[Detailed req est. ]],表格1_3[[#This Row],[Mandate]])</f>
        <v>46524</v>
      </c>
      <c r="I46" s="5">
        <v>46501</v>
      </c>
      <c r="J46" s="19">
        <f t="shared" si="2"/>
        <v>46531</v>
      </c>
      <c r="K46" s="19">
        <f t="shared" si="1"/>
        <v>46545</v>
      </c>
    </row>
  </sheetData>
  <phoneticPr fontId="1" type="noConversion"/>
  <dataValidations count="1">
    <dataValidation type="list" allowBlank="1" showInputMessage="1" showErrorMessage="1" sqref="H2:H12" xr:uid="{37E35EE8-E146-4549-B2DE-567698D0FCBC}">
      <formula1>"Collecting Requirements, In Development, In Unit Testing, in UAT, Go-Live"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DC86-603D-4007-9EA9-8AED0AA64DAD}">
  <sheetPr filterMode="1"/>
  <dimension ref="A1:P247"/>
  <sheetViews>
    <sheetView topLeftCell="B1" zoomScale="99" zoomScaleNormal="100" workbookViewId="0">
      <pane ySplit="11" topLeftCell="A23" activePane="bottomLeft" state="frozen"/>
      <selection pane="bottomLeft" activeCell="E74" sqref="E74"/>
    </sheetView>
  </sheetViews>
  <sheetFormatPr defaultColWidth="8.7109375" defaultRowHeight="12.75"/>
  <cols>
    <col min="1" max="1" width="9.42578125" style="49" customWidth="1"/>
    <col min="2" max="2" width="19.85546875" style="49" customWidth="1"/>
    <col min="3" max="3" width="70" style="49" customWidth="1"/>
    <col min="4" max="4" width="10.42578125" style="49" customWidth="1"/>
    <col min="5" max="5" width="71.140625" style="49" customWidth="1"/>
    <col min="6" max="6" width="13.42578125" style="49" customWidth="1"/>
    <col min="7" max="7" width="12.85546875" style="49" customWidth="1"/>
    <col min="8" max="8" width="12" style="49" customWidth="1"/>
    <col min="9" max="9" width="13.42578125" style="49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5" width="14.28515625" style="49" bestFit="1" customWidth="1"/>
    <col min="16" max="16" width="16.42578125" style="49" customWidth="1"/>
    <col min="17" max="16384" width="8.7109375" style="49"/>
  </cols>
  <sheetData>
    <row r="1" spans="1:16" s="46" customFormat="1" ht="24" customHeight="1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6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6" s="46" customFormat="1" ht="15">
      <c r="B3" s="67" t="s">
        <v>6</v>
      </c>
      <c r="C3" s="68">
        <f>COUNTA(E18:E1048576)</f>
        <v>229</v>
      </c>
      <c r="D3" s="68"/>
      <c r="E3" s="45"/>
      <c r="F3" s="69" t="s">
        <v>7</v>
      </c>
      <c r="G3" s="70">
        <f>G5-G4+1</f>
        <v>593</v>
      </c>
      <c r="H3" s="45"/>
      <c r="I3" s="120" t="s">
        <v>8</v>
      </c>
      <c r="J3" s="45"/>
    </row>
    <row r="4" spans="1:16" s="46" customFormat="1" ht="15">
      <c r="B4" s="71" t="s">
        <v>9</v>
      </c>
      <c r="C4" s="72">
        <f>COUNTIF(K18:K1048576,B4)</f>
        <v>0</v>
      </c>
      <c r="D4" s="72"/>
      <c r="E4" s="45"/>
      <c r="F4" s="73" t="s">
        <v>10</v>
      </c>
      <c r="G4" s="74">
        <f>MIN(H12:H1048576)</f>
        <v>45915</v>
      </c>
      <c r="H4" s="45"/>
      <c r="I4" s="121"/>
      <c r="J4" s="45"/>
      <c r="K4" s="89">
        <f>SUM(G12:G17)</f>
        <v>24</v>
      </c>
      <c r="M4" s="60" t="s">
        <v>11</v>
      </c>
      <c r="N4" s="50" t="s">
        <v>12</v>
      </c>
      <c r="O4" s="46" t="s">
        <v>13</v>
      </c>
    </row>
    <row r="5" spans="1:16" s="46" customFormat="1" ht="15">
      <c r="B5" s="71" t="s">
        <v>16</v>
      </c>
      <c r="C5" s="72">
        <f>COUNTIF(K18:K1048576,B5)</f>
        <v>9</v>
      </c>
      <c r="D5" s="72"/>
      <c r="E5" s="45"/>
      <c r="F5" s="73" t="s">
        <v>17</v>
      </c>
      <c r="G5" s="74">
        <f>MAX(I12:I1048576)</f>
        <v>46507</v>
      </c>
      <c r="H5" s="45"/>
      <c r="I5" s="122"/>
      <c r="J5" s="45"/>
      <c r="K5" s="89">
        <f>SUM(G12:G216)</f>
        <v>408</v>
      </c>
      <c r="M5" s="56" t="s">
        <v>18</v>
      </c>
      <c r="N5" s="57">
        <v>1</v>
      </c>
      <c r="P5" s="46" t="s">
        <v>19</v>
      </c>
    </row>
    <row r="6" spans="1:16" s="46" customFormat="1" ht="15">
      <c r="B6" s="71" t="s">
        <v>22</v>
      </c>
      <c r="C6" s="72">
        <f>COUNTIF(K18:K1048576,B6)</f>
        <v>221</v>
      </c>
      <c r="D6" s="72"/>
      <c r="E6" s="45"/>
      <c r="F6" s="73"/>
      <c r="G6" s="75"/>
      <c r="H6" s="45"/>
      <c r="I6" s="122"/>
      <c r="J6" s="45"/>
      <c r="M6" s="94" t="s">
        <v>409</v>
      </c>
      <c r="N6" s="57">
        <v>1</v>
      </c>
      <c r="O6" s="99">
        <f>145000*1.05</f>
        <v>152250</v>
      </c>
      <c r="P6" s="99">
        <f>O6*12</f>
        <v>1827000</v>
      </c>
    </row>
    <row r="7" spans="1:16" s="46" customFormat="1" ht="15">
      <c r="B7" s="44"/>
      <c r="C7" s="44"/>
      <c r="D7" s="123" t="s">
        <v>26</v>
      </c>
      <c r="E7" s="124"/>
      <c r="F7" s="123"/>
      <c r="G7" s="100" t="s">
        <v>27</v>
      </c>
      <c r="H7" s="45"/>
      <c r="I7" s="76">
        <f>1-I5</f>
        <v>1</v>
      </c>
      <c r="J7" s="45"/>
      <c r="K7" s="90"/>
      <c r="M7" s="96" t="s">
        <v>28</v>
      </c>
      <c r="N7" s="57">
        <v>1</v>
      </c>
    </row>
    <row r="8" spans="1:16" s="46" customFormat="1" ht="15">
      <c r="B8" s="44"/>
      <c r="C8" s="44"/>
      <c r="D8" s="44"/>
      <c r="E8" s="45"/>
      <c r="F8" s="45"/>
      <c r="G8" s="45"/>
      <c r="H8" s="45"/>
      <c r="I8" s="76"/>
      <c r="J8" s="45"/>
      <c r="K8" s="90"/>
      <c r="M8" s="94" t="s">
        <v>32</v>
      </c>
      <c r="N8" s="57">
        <v>1</v>
      </c>
      <c r="O8" s="99">
        <f>145000*1.05</f>
        <v>152250</v>
      </c>
      <c r="P8" s="99">
        <f>O8*12</f>
        <v>1827000</v>
      </c>
    </row>
    <row r="9" spans="1:16" s="46" customFormat="1" ht="15">
      <c r="B9" s="44"/>
      <c r="C9" s="44"/>
      <c r="D9" s="44"/>
      <c r="E9" s="45"/>
      <c r="F9" s="45"/>
      <c r="G9" s="45"/>
      <c r="H9" s="45"/>
      <c r="I9" s="76"/>
      <c r="J9" s="45"/>
      <c r="K9" s="90"/>
      <c r="M9" s="56" t="s">
        <v>33</v>
      </c>
      <c r="N9" s="57">
        <v>0.5</v>
      </c>
    </row>
    <row r="10" spans="1:16" s="46" customFormat="1" ht="15">
      <c r="B10" s="44"/>
      <c r="C10" s="44"/>
      <c r="D10" s="44"/>
      <c r="E10" s="45"/>
      <c r="F10" s="45"/>
      <c r="G10" s="45"/>
      <c r="H10" s="45"/>
      <c r="I10" s="76"/>
      <c r="J10" s="45"/>
      <c r="K10" s="90"/>
      <c r="M10" s="56" t="s">
        <v>410</v>
      </c>
      <c r="N10" s="57">
        <v>0.5</v>
      </c>
    </row>
    <row r="11" spans="1:16" ht="25.5">
      <c r="A11" s="47" t="s">
        <v>272</v>
      </c>
      <c r="B11" s="47" t="s">
        <v>35</v>
      </c>
      <c r="C11" s="47" t="s">
        <v>36</v>
      </c>
      <c r="D11" s="47" t="s">
        <v>37</v>
      </c>
      <c r="E11" s="47" t="s">
        <v>38</v>
      </c>
      <c r="F11" s="47" t="s">
        <v>40</v>
      </c>
      <c r="G11" s="59" t="s">
        <v>41</v>
      </c>
      <c r="H11" s="48" t="s">
        <v>10</v>
      </c>
      <c r="I11" s="48" t="s">
        <v>17</v>
      </c>
      <c r="J11" s="48" t="s">
        <v>7</v>
      </c>
      <c r="K11" s="48" t="s">
        <v>42</v>
      </c>
    </row>
    <row r="12" spans="1:16" hidden="1">
      <c r="A12" s="51" t="s">
        <v>273</v>
      </c>
      <c r="B12" s="49" t="s">
        <v>274</v>
      </c>
      <c r="C12" s="51" t="s">
        <v>275</v>
      </c>
      <c r="D12" s="51" t="s">
        <v>46</v>
      </c>
      <c r="E12" s="51" t="s">
        <v>83</v>
      </c>
      <c r="F12" s="51" t="s">
        <v>276</v>
      </c>
      <c r="G12" s="52">
        <v>3</v>
      </c>
      <c r="H12" s="53">
        <v>45915</v>
      </c>
      <c r="I12" s="53">
        <f t="shared" ref="I12:I33" si="0">WORKDAY(H12,J12)</f>
        <v>45918</v>
      </c>
      <c r="J12" s="54">
        <f t="shared" ref="J12:J17" si="1">G12/$N$5</f>
        <v>3</v>
      </c>
      <c r="K12" s="102" t="s">
        <v>9</v>
      </c>
    </row>
    <row r="13" spans="1:16" hidden="1">
      <c r="A13" s="51" t="s">
        <v>273</v>
      </c>
      <c r="B13" s="49" t="s">
        <v>274</v>
      </c>
      <c r="C13" s="51" t="s">
        <v>45</v>
      </c>
      <c r="D13" s="51" t="s">
        <v>46</v>
      </c>
      <c r="E13" s="51" t="s">
        <v>277</v>
      </c>
      <c r="F13" s="51" t="s">
        <v>276</v>
      </c>
      <c r="G13" s="52">
        <v>3</v>
      </c>
      <c r="H13" s="53">
        <f>WORKDAY(I12,1)</f>
        <v>45919</v>
      </c>
      <c r="I13" s="53">
        <f t="shared" si="0"/>
        <v>45924</v>
      </c>
      <c r="J13" s="54">
        <f t="shared" si="1"/>
        <v>3</v>
      </c>
      <c r="K13" s="102" t="s">
        <v>9</v>
      </c>
    </row>
    <row r="14" spans="1:16" hidden="1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51</v>
      </c>
      <c r="F14" s="51" t="s">
        <v>18</v>
      </c>
      <c r="G14" s="52">
        <v>5</v>
      </c>
      <c r="H14" s="53">
        <f>WORKDAY(I13,1)</f>
        <v>45925</v>
      </c>
      <c r="I14" s="53">
        <f t="shared" si="0"/>
        <v>45932</v>
      </c>
      <c r="J14" s="54">
        <f t="shared" si="1"/>
        <v>5</v>
      </c>
      <c r="K14" s="102" t="s">
        <v>9</v>
      </c>
    </row>
    <row r="15" spans="1:16" hidden="1">
      <c r="A15" s="51" t="s">
        <v>273</v>
      </c>
      <c r="B15" s="49" t="s">
        <v>274</v>
      </c>
      <c r="C15" s="51" t="s">
        <v>45</v>
      </c>
      <c r="D15" s="51" t="s">
        <v>50</v>
      </c>
      <c r="E15" s="51" t="s">
        <v>52</v>
      </c>
      <c r="F15" s="51" t="s">
        <v>18</v>
      </c>
      <c r="G15" s="52">
        <v>5</v>
      </c>
      <c r="H15" s="53">
        <f>WORKDAY(I14,1)</f>
        <v>45933</v>
      </c>
      <c r="I15" s="53">
        <f t="shared" si="0"/>
        <v>45940</v>
      </c>
      <c r="J15" s="54">
        <f t="shared" si="1"/>
        <v>5</v>
      </c>
      <c r="K15" s="102" t="s">
        <v>9</v>
      </c>
    </row>
    <row r="16" spans="1:16" hidden="1">
      <c r="A16" s="51" t="s">
        <v>273</v>
      </c>
      <c r="B16" s="49" t="s">
        <v>274</v>
      </c>
      <c r="C16" s="51" t="s">
        <v>45</v>
      </c>
      <c r="D16" s="51" t="s">
        <v>50</v>
      </c>
      <c r="E16" s="51" t="s">
        <v>54</v>
      </c>
      <c r="F16" s="51" t="s">
        <v>18</v>
      </c>
      <c r="G16" s="52">
        <v>5</v>
      </c>
      <c r="H16" s="53">
        <f>WORKDAY(I15,1)</f>
        <v>45943</v>
      </c>
      <c r="I16" s="53">
        <f t="shared" si="0"/>
        <v>45950</v>
      </c>
      <c r="J16" s="54">
        <f t="shared" si="1"/>
        <v>5</v>
      </c>
      <c r="K16" s="102" t="s">
        <v>9</v>
      </c>
    </row>
    <row r="17" spans="1:11" hidden="1">
      <c r="A17" s="51" t="s">
        <v>273</v>
      </c>
      <c r="B17" s="49" t="s">
        <v>274</v>
      </c>
      <c r="C17" s="51" t="s">
        <v>45</v>
      </c>
      <c r="D17" s="51" t="s">
        <v>278</v>
      </c>
      <c r="E17" s="51" t="s">
        <v>56</v>
      </c>
      <c r="F17" s="51" t="s">
        <v>279</v>
      </c>
      <c r="G17" s="52">
        <v>3</v>
      </c>
      <c r="H17" s="53">
        <f>WORKDAY(I16,1)</f>
        <v>45951</v>
      </c>
      <c r="I17" s="53">
        <f t="shared" si="0"/>
        <v>45954</v>
      </c>
      <c r="J17" s="54">
        <f t="shared" si="1"/>
        <v>3</v>
      </c>
      <c r="K17" s="102" t="s">
        <v>9</v>
      </c>
    </row>
    <row r="18" spans="1:11" hidden="1">
      <c r="A18" s="51" t="s">
        <v>43</v>
      </c>
      <c r="B18" s="81" t="s">
        <v>44</v>
      </c>
      <c r="C18" s="51" t="s">
        <v>45</v>
      </c>
      <c r="D18" s="51" t="s">
        <v>46</v>
      </c>
      <c r="E18" s="51" t="s">
        <v>47</v>
      </c>
      <c r="F18" s="51" t="s">
        <v>48</v>
      </c>
      <c r="G18" s="52">
        <v>3</v>
      </c>
      <c r="H18" s="53">
        <v>45985</v>
      </c>
      <c r="I18" s="53">
        <f t="shared" si="0"/>
        <v>45993</v>
      </c>
      <c r="J18" s="54">
        <f>G18/$N$9</f>
        <v>6</v>
      </c>
      <c r="K18" s="55" t="s">
        <v>16</v>
      </c>
    </row>
    <row r="19" spans="1:11" hidden="1">
      <c r="A19" s="51" t="s">
        <v>43</v>
      </c>
      <c r="B19" s="81" t="s">
        <v>44</v>
      </c>
      <c r="C19" s="51" t="s">
        <v>45</v>
      </c>
      <c r="D19" s="51" t="s">
        <v>46</v>
      </c>
      <c r="E19" s="51" t="s">
        <v>49</v>
      </c>
      <c r="F19" s="51" t="s">
        <v>48</v>
      </c>
      <c r="G19" s="52">
        <v>3</v>
      </c>
      <c r="H19" s="53">
        <f>WORKDAY(I18,1)</f>
        <v>45994</v>
      </c>
      <c r="I19" s="53">
        <f t="shared" si="0"/>
        <v>46002</v>
      </c>
      <c r="J19" s="54">
        <f>G19/$N$9</f>
        <v>6</v>
      </c>
      <c r="K19" s="55" t="s">
        <v>16</v>
      </c>
    </row>
    <row r="20" spans="1:11" hidden="1">
      <c r="A20" s="51" t="s">
        <v>43</v>
      </c>
      <c r="B20" s="81" t="s">
        <v>44</v>
      </c>
      <c r="C20" s="51" t="s">
        <v>45</v>
      </c>
      <c r="D20" s="51" t="s">
        <v>50</v>
      </c>
      <c r="E20" s="51" t="s">
        <v>51</v>
      </c>
      <c r="F20" s="51" t="s">
        <v>18</v>
      </c>
      <c r="G20" s="52">
        <v>3</v>
      </c>
      <c r="H20" s="53">
        <f>WORKDAY(I19,1)</f>
        <v>46003</v>
      </c>
      <c r="I20" s="53">
        <f t="shared" si="0"/>
        <v>46008</v>
      </c>
      <c r="J20" s="54">
        <f>G20/$N$5</f>
        <v>3</v>
      </c>
      <c r="K20" s="55" t="s">
        <v>16</v>
      </c>
    </row>
    <row r="21" spans="1:11" hidden="1">
      <c r="A21" s="51" t="s">
        <v>43</v>
      </c>
      <c r="B21" s="81" t="s">
        <v>44</v>
      </c>
      <c r="C21" s="51" t="s">
        <v>45</v>
      </c>
      <c r="D21" s="51" t="s">
        <v>50</v>
      </c>
      <c r="E21" s="51" t="s">
        <v>52</v>
      </c>
      <c r="F21" s="51" t="s">
        <v>18</v>
      </c>
      <c r="G21" s="52">
        <v>5</v>
      </c>
      <c r="H21" s="53">
        <f>WORKDAY(I20,1)</f>
        <v>46009</v>
      </c>
      <c r="I21" s="53">
        <f t="shared" si="0"/>
        <v>46016</v>
      </c>
      <c r="J21" s="54">
        <f>G21/$N$5</f>
        <v>5</v>
      </c>
      <c r="K21" s="55" t="s">
        <v>22</v>
      </c>
    </row>
    <row r="22" spans="1:11" hidden="1">
      <c r="A22" s="51" t="s">
        <v>53</v>
      </c>
      <c r="B22" s="81" t="s">
        <v>44</v>
      </c>
      <c r="C22" s="51" t="s">
        <v>45</v>
      </c>
      <c r="D22" s="51" t="s">
        <v>50</v>
      </c>
      <c r="E22" s="51" t="s">
        <v>54</v>
      </c>
      <c r="F22" s="51" t="s">
        <v>18</v>
      </c>
      <c r="G22" s="52">
        <v>2</v>
      </c>
      <c r="H22" s="53">
        <f>WORKDAY(I21,1)</f>
        <v>46017</v>
      </c>
      <c r="I22" s="53">
        <f t="shared" si="0"/>
        <v>46021</v>
      </c>
      <c r="J22" s="54">
        <f>G22/$N$5</f>
        <v>2</v>
      </c>
      <c r="K22" s="55" t="s">
        <v>22</v>
      </c>
    </row>
    <row r="23" spans="1:11">
      <c r="A23" s="51" t="s">
        <v>53</v>
      </c>
      <c r="B23" s="81" t="s">
        <v>44</v>
      </c>
      <c r="C23" s="51" t="s">
        <v>45</v>
      </c>
      <c r="D23" s="51" t="s">
        <v>278</v>
      </c>
      <c r="E23" s="51" t="s">
        <v>56</v>
      </c>
      <c r="F23" s="51" t="s">
        <v>279</v>
      </c>
      <c r="G23" s="52">
        <v>3</v>
      </c>
      <c r="H23" s="53">
        <f>WORKDAY(I22,1)</f>
        <v>46022</v>
      </c>
      <c r="I23" s="53">
        <f t="shared" si="0"/>
        <v>46027</v>
      </c>
      <c r="J23" s="54">
        <f t="shared" ref="J23" si="2">G23/$N$5</f>
        <v>3</v>
      </c>
      <c r="K23" s="55" t="s">
        <v>22</v>
      </c>
    </row>
    <row r="24" spans="1:11" hidden="1">
      <c r="A24" s="51" t="s">
        <v>53</v>
      </c>
      <c r="B24" s="81" t="s">
        <v>44</v>
      </c>
      <c r="C24" s="51" t="s">
        <v>58</v>
      </c>
      <c r="D24" s="51" t="s">
        <v>46</v>
      </c>
      <c r="E24" s="51" t="s">
        <v>59</v>
      </c>
      <c r="F24" s="51" t="s">
        <v>48</v>
      </c>
      <c r="G24" s="52">
        <v>1.5</v>
      </c>
      <c r="H24" s="53">
        <f>WORKDAY(I19,1)</f>
        <v>46003</v>
      </c>
      <c r="I24" s="53">
        <f t="shared" si="0"/>
        <v>46008</v>
      </c>
      <c r="J24" s="54">
        <f>G24/$N$9</f>
        <v>3</v>
      </c>
      <c r="K24" s="55" t="s">
        <v>16</v>
      </c>
    </row>
    <row r="25" spans="1:11" hidden="1">
      <c r="A25" s="51" t="s">
        <v>53</v>
      </c>
      <c r="B25" s="81" t="s">
        <v>44</v>
      </c>
      <c r="C25" s="51" t="s">
        <v>58</v>
      </c>
      <c r="D25" s="51" t="s">
        <v>46</v>
      </c>
      <c r="E25" s="51" t="s">
        <v>60</v>
      </c>
      <c r="F25" s="51" t="s">
        <v>48</v>
      </c>
      <c r="G25" s="52">
        <v>1.5</v>
      </c>
      <c r="H25" s="53">
        <f>WORKDAY(I24,1)</f>
        <v>46009</v>
      </c>
      <c r="I25" s="53">
        <f t="shared" si="0"/>
        <v>46014</v>
      </c>
      <c r="J25" s="54">
        <f>G25/$N$9</f>
        <v>3</v>
      </c>
      <c r="K25" s="55" t="s">
        <v>16</v>
      </c>
    </row>
    <row r="26" spans="1:11" hidden="1">
      <c r="A26" s="51" t="s">
        <v>53</v>
      </c>
      <c r="B26" s="81" t="s">
        <v>44</v>
      </c>
      <c r="C26" s="51" t="s">
        <v>58</v>
      </c>
      <c r="D26" s="51" t="s">
        <v>50</v>
      </c>
      <c r="E26" s="51" t="s">
        <v>61</v>
      </c>
      <c r="F26" s="51" t="s">
        <v>62</v>
      </c>
      <c r="G26" s="52">
        <v>1</v>
      </c>
      <c r="H26" s="53">
        <f>WORKDAY(I25,1)</f>
        <v>46015</v>
      </c>
      <c r="I26" s="53">
        <f t="shared" si="0"/>
        <v>46016</v>
      </c>
      <c r="J26" s="54">
        <f>G26/$N$5</f>
        <v>1</v>
      </c>
      <c r="K26" s="55" t="s">
        <v>22</v>
      </c>
    </row>
    <row r="27" spans="1:11" hidden="1">
      <c r="A27" s="51" t="s">
        <v>63</v>
      </c>
      <c r="B27" s="81" t="s">
        <v>64</v>
      </c>
      <c r="C27" s="51" t="s">
        <v>58</v>
      </c>
      <c r="D27" s="51" t="s">
        <v>50</v>
      </c>
      <c r="E27" s="51" t="s">
        <v>65</v>
      </c>
      <c r="F27" s="51" t="s">
        <v>18</v>
      </c>
      <c r="G27" s="52">
        <v>7</v>
      </c>
      <c r="H27" s="53">
        <f>WORKDAY(I22,1)</f>
        <v>46022</v>
      </c>
      <c r="I27" s="53">
        <f t="shared" si="0"/>
        <v>46031</v>
      </c>
      <c r="J27" s="54">
        <f t="shared" ref="J27:J28" si="3">G27/$N$5</f>
        <v>7</v>
      </c>
      <c r="K27" s="55" t="s">
        <v>22</v>
      </c>
    </row>
    <row r="28" spans="1:11">
      <c r="A28" s="51" t="s">
        <v>63</v>
      </c>
      <c r="B28" s="81" t="s">
        <v>44</v>
      </c>
      <c r="C28" s="51" t="s">
        <v>58</v>
      </c>
      <c r="D28" s="51" t="s">
        <v>278</v>
      </c>
      <c r="E28" s="51" t="s">
        <v>66</v>
      </c>
      <c r="F28" s="51" t="s">
        <v>279</v>
      </c>
      <c r="G28" s="52">
        <v>3</v>
      </c>
      <c r="H28" s="53">
        <f>WORKDAY(I27,1)</f>
        <v>46034</v>
      </c>
      <c r="I28" s="53">
        <f t="shared" si="0"/>
        <v>46037</v>
      </c>
      <c r="J28" s="54">
        <f t="shared" si="3"/>
        <v>3</v>
      </c>
      <c r="K28" s="55" t="s">
        <v>22</v>
      </c>
    </row>
    <row r="29" spans="1:11" hidden="1">
      <c r="A29" s="51" t="s">
        <v>63</v>
      </c>
      <c r="B29" s="81" t="s">
        <v>44</v>
      </c>
      <c r="C29" s="51" t="s">
        <v>67</v>
      </c>
      <c r="D29" s="51" t="s">
        <v>46</v>
      </c>
      <c r="E29" s="51" t="s">
        <v>68</v>
      </c>
      <c r="F29" s="51" t="s">
        <v>48</v>
      </c>
      <c r="G29" s="52">
        <v>1.5</v>
      </c>
      <c r="H29" s="53">
        <f>WORKDAY(I25,1)</f>
        <v>46015</v>
      </c>
      <c r="I29" s="53">
        <f t="shared" si="0"/>
        <v>46020</v>
      </c>
      <c r="J29" s="54">
        <f>G29/$N$9</f>
        <v>3</v>
      </c>
      <c r="K29" s="55" t="s">
        <v>16</v>
      </c>
    </row>
    <row r="30" spans="1:11" hidden="1">
      <c r="A30" s="51" t="s">
        <v>63</v>
      </c>
      <c r="B30" s="81" t="s">
        <v>44</v>
      </c>
      <c r="C30" s="51" t="s">
        <v>67</v>
      </c>
      <c r="D30" s="51" t="s">
        <v>46</v>
      </c>
      <c r="E30" s="51" t="s">
        <v>69</v>
      </c>
      <c r="F30" s="51" t="s">
        <v>48</v>
      </c>
      <c r="G30" s="52">
        <v>1.5</v>
      </c>
      <c r="H30" s="53">
        <f>WORKDAY(I26,1)</f>
        <v>46017</v>
      </c>
      <c r="I30" s="53">
        <f t="shared" si="0"/>
        <v>46022</v>
      </c>
      <c r="J30" s="54">
        <f>G30/$N$9</f>
        <v>3</v>
      </c>
      <c r="K30" s="55" t="s">
        <v>16</v>
      </c>
    </row>
    <row r="31" spans="1:11" hidden="1">
      <c r="A31" s="51" t="s">
        <v>70</v>
      </c>
      <c r="B31" s="81" t="s">
        <v>44</v>
      </c>
      <c r="C31" s="51" t="s">
        <v>67</v>
      </c>
      <c r="D31" s="51" t="s">
        <v>50</v>
      </c>
      <c r="E31" s="51" t="s">
        <v>71</v>
      </c>
      <c r="F31" s="51" t="s">
        <v>62</v>
      </c>
      <c r="G31" s="52">
        <v>4</v>
      </c>
      <c r="H31" s="53">
        <f>WORKDAY(I30,1)</f>
        <v>46023</v>
      </c>
      <c r="I31" s="53">
        <f t="shared" si="0"/>
        <v>46029</v>
      </c>
      <c r="J31" s="54">
        <f>G31/$N$5</f>
        <v>4</v>
      </c>
      <c r="K31" s="55" t="s">
        <v>22</v>
      </c>
    </row>
    <row r="32" spans="1:11" hidden="1">
      <c r="A32" s="51" t="s">
        <v>70</v>
      </c>
      <c r="B32" s="81" t="s">
        <v>44</v>
      </c>
      <c r="C32" s="51" t="s">
        <v>67</v>
      </c>
      <c r="D32" s="51" t="s">
        <v>50</v>
      </c>
      <c r="E32" s="51" t="s">
        <v>72</v>
      </c>
      <c r="F32" s="51" t="s">
        <v>18</v>
      </c>
      <c r="G32" s="52">
        <v>4</v>
      </c>
      <c r="H32" s="53">
        <f>WORKDAY(I27,1)</f>
        <v>46034</v>
      </c>
      <c r="I32" s="53">
        <f t="shared" si="0"/>
        <v>46038</v>
      </c>
      <c r="J32" s="54">
        <f t="shared" ref="J32:J33" si="4">G32/$N$5</f>
        <v>4</v>
      </c>
      <c r="K32" s="55" t="s">
        <v>22</v>
      </c>
    </row>
    <row r="33" spans="1:11">
      <c r="A33" s="51" t="s">
        <v>73</v>
      </c>
      <c r="B33" s="81" t="s">
        <v>44</v>
      </c>
      <c r="C33" s="51" t="s">
        <v>67</v>
      </c>
      <c r="D33" s="51" t="s">
        <v>278</v>
      </c>
      <c r="E33" s="51" t="s">
        <v>74</v>
      </c>
      <c r="F33" s="51" t="s">
        <v>279</v>
      </c>
      <c r="G33" s="52">
        <v>2</v>
      </c>
      <c r="H33" s="53">
        <f>WORKDAY(I32,1)</f>
        <v>46041</v>
      </c>
      <c r="I33" s="53">
        <f t="shared" si="0"/>
        <v>46043</v>
      </c>
      <c r="J33" s="54">
        <f t="shared" si="4"/>
        <v>2</v>
      </c>
      <c r="K33" s="55" t="s">
        <v>22</v>
      </c>
    </row>
    <row r="34" spans="1:11" hidden="1">
      <c r="A34" s="51" t="s">
        <v>63</v>
      </c>
      <c r="B34" s="81" t="s">
        <v>44</v>
      </c>
      <c r="C34" s="51" t="s">
        <v>75</v>
      </c>
      <c r="D34" s="51" t="s">
        <v>46</v>
      </c>
      <c r="E34" s="51" t="s">
        <v>76</v>
      </c>
      <c r="F34" s="51" t="s">
        <v>48</v>
      </c>
      <c r="G34" s="52">
        <v>1.5</v>
      </c>
      <c r="H34" s="53">
        <f>WORKDAY(I30,1)</f>
        <v>46023</v>
      </c>
      <c r="I34" s="53">
        <f>WORKDAY(H34,J34)</f>
        <v>46028</v>
      </c>
      <c r="J34" s="54">
        <f>G34/$N$9</f>
        <v>3</v>
      </c>
      <c r="K34" s="55" t="s">
        <v>16</v>
      </c>
    </row>
    <row r="35" spans="1:11" hidden="1">
      <c r="A35" s="51" t="s">
        <v>63</v>
      </c>
      <c r="B35" s="81" t="s">
        <v>44</v>
      </c>
      <c r="C35" s="51" t="s">
        <v>75</v>
      </c>
      <c r="D35" s="51" t="s">
        <v>46</v>
      </c>
      <c r="E35" s="51" t="s">
        <v>77</v>
      </c>
      <c r="F35" s="51" t="s">
        <v>48</v>
      </c>
      <c r="G35" s="52">
        <v>1.5</v>
      </c>
      <c r="H35" s="53">
        <f>WORKDAY(I34,1)</f>
        <v>46029</v>
      </c>
      <c r="I35" s="53">
        <f t="shared" ref="I35:I84" si="5">WORKDAY(H35,J35)</f>
        <v>46034</v>
      </c>
      <c r="J35" s="54">
        <f>G35/$N$9</f>
        <v>3</v>
      </c>
      <c r="K35" s="55" t="s">
        <v>16</v>
      </c>
    </row>
    <row r="36" spans="1:11" hidden="1">
      <c r="A36" s="51" t="s">
        <v>73</v>
      </c>
      <c r="B36" s="81" t="s">
        <v>44</v>
      </c>
      <c r="C36" s="51" t="s">
        <v>75</v>
      </c>
      <c r="D36" s="51" t="s">
        <v>50</v>
      </c>
      <c r="E36" s="51" t="s">
        <v>78</v>
      </c>
      <c r="F36" s="51" t="s">
        <v>62</v>
      </c>
      <c r="G36" s="52">
        <v>4</v>
      </c>
      <c r="H36" s="53">
        <f>WORKDAY(I31,1)</f>
        <v>46030</v>
      </c>
      <c r="I36" s="53">
        <f t="shared" si="5"/>
        <v>46036</v>
      </c>
      <c r="J36" s="54">
        <f>G36/$N$5</f>
        <v>4</v>
      </c>
      <c r="K36" s="55" t="s">
        <v>22</v>
      </c>
    </row>
    <row r="37" spans="1:11" hidden="1">
      <c r="A37" s="51" t="s">
        <v>73</v>
      </c>
      <c r="B37" s="81" t="s">
        <v>44</v>
      </c>
      <c r="C37" s="51" t="s">
        <v>75</v>
      </c>
      <c r="D37" s="51" t="s">
        <v>50</v>
      </c>
      <c r="E37" s="51" t="s">
        <v>79</v>
      </c>
      <c r="F37" s="51" t="s">
        <v>18</v>
      </c>
      <c r="G37" s="52">
        <v>4</v>
      </c>
      <c r="H37" s="53">
        <f>WORKDAY(I32,1)</f>
        <v>46041</v>
      </c>
      <c r="I37" s="53">
        <f t="shared" si="5"/>
        <v>46045</v>
      </c>
      <c r="J37" s="54">
        <f>G37/$N$5</f>
        <v>4</v>
      </c>
      <c r="K37" s="55" t="s">
        <v>22</v>
      </c>
    </row>
    <row r="38" spans="1:11">
      <c r="A38" s="82" t="s">
        <v>80</v>
      </c>
      <c r="B38" s="83" t="s">
        <v>44</v>
      </c>
      <c r="C38" s="82" t="s">
        <v>75</v>
      </c>
      <c r="D38" s="82" t="s">
        <v>278</v>
      </c>
      <c r="E38" s="82" t="s">
        <v>81</v>
      </c>
      <c r="F38" s="51" t="s">
        <v>279</v>
      </c>
      <c r="G38" s="84">
        <v>2</v>
      </c>
      <c r="H38" s="85">
        <f>WORKDAY(I37,1)</f>
        <v>46048</v>
      </c>
      <c r="I38" s="85">
        <f t="shared" si="5"/>
        <v>46050</v>
      </c>
      <c r="J38" s="86">
        <f>G38/$N$5</f>
        <v>2</v>
      </c>
      <c r="K38" s="87" t="s">
        <v>22</v>
      </c>
    </row>
    <row r="39" spans="1:11">
      <c r="A39" s="51" t="s">
        <v>43</v>
      </c>
      <c r="B39" s="81" t="s">
        <v>82</v>
      </c>
      <c r="C39" s="51" t="s">
        <v>45</v>
      </c>
      <c r="D39" s="51" t="s">
        <v>46</v>
      </c>
      <c r="E39" s="51" t="s">
        <v>83</v>
      </c>
      <c r="F39" s="51" t="s">
        <v>276</v>
      </c>
      <c r="G39" s="52">
        <v>3</v>
      </c>
      <c r="H39" s="53">
        <f>WORKDAY(I35,1)</f>
        <v>46035</v>
      </c>
      <c r="I39" s="53">
        <f t="shared" si="5"/>
        <v>46038</v>
      </c>
      <c r="J39" s="54">
        <f>G39/$N$6</f>
        <v>3</v>
      </c>
      <c r="K39" s="55" t="s">
        <v>22</v>
      </c>
    </row>
    <row r="40" spans="1:11">
      <c r="A40" s="51" t="s">
        <v>53</v>
      </c>
      <c r="B40" s="81" t="s">
        <v>84</v>
      </c>
      <c r="C40" s="51" t="s">
        <v>45</v>
      </c>
      <c r="D40" s="51" t="s">
        <v>46</v>
      </c>
      <c r="E40" s="51" t="s">
        <v>85</v>
      </c>
      <c r="F40" s="51" t="s">
        <v>276</v>
      </c>
      <c r="G40" s="52">
        <v>3</v>
      </c>
      <c r="H40" s="53">
        <f>WORKDAY(I39,1)</f>
        <v>46041</v>
      </c>
      <c r="I40" s="53">
        <f t="shared" si="5"/>
        <v>46044</v>
      </c>
      <c r="J40" s="54">
        <f>G40/$N$6</f>
        <v>3</v>
      </c>
      <c r="K40" s="55" t="s">
        <v>22</v>
      </c>
    </row>
    <row r="41" spans="1:11" hidden="1">
      <c r="A41" s="51" t="s">
        <v>53</v>
      </c>
      <c r="B41" s="81" t="s">
        <v>84</v>
      </c>
      <c r="C41" s="51" t="s">
        <v>45</v>
      </c>
      <c r="D41" s="51" t="s">
        <v>50</v>
      </c>
      <c r="E41" s="51" t="s">
        <v>51</v>
      </c>
      <c r="F41" s="51" t="s">
        <v>86</v>
      </c>
      <c r="G41" s="52">
        <v>4</v>
      </c>
      <c r="H41" s="53">
        <f>WORKDAY(I39,1)</f>
        <v>46041</v>
      </c>
      <c r="I41" s="53">
        <f t="shared" si="5"/>
        <v>46045</v>
      </c>
      <c r="J41" s="54">
        <f>G41/$N$7</f>
        <v>4</v>
      </c>
      <c r="K41" s="55" t="s">
        <v>22</v>
      </c>
    </row>
    <row r="42" spans="1:11" hidden="1">
      <c r="A42" s="51" t="s">
        <v>63</v>
      </c>
      <c r="B42" s="81" t="s">
        <v>84</v>
      </c>
      <c r="C42" s="51" t="s">
        <v>45</v>
      </c>
      <c r="D42" s="51" t="s">
        <v>50</v>
      </c>
      <c r="E42" s="51" t="s">
        <v>52</v>
      </c>
      <c r="F42" s="51" t="s">
        <v>86</v>
      </c>
      <c r="G42" s="52">
        <v>4</v>
      </c>
      <c r="H42" s="53">
        <f t="shared" ref="H42:H43" si="6">WORKDAY(I41,1)</f>
        <v>46048</v>
      </c>
      <c r="I42" s="53">
        <f t="shared" si="5"/>
        <v>46052</v>
      </c>
      <c r="J42" s="54">
        <f>G42/$N$7</f>
        <v>4</v>
      </c>
      <c r="K42" s="55" t="s">
        <v>22</v>
      </c>
    </row>
    <row r="43" spans="1:11" hidden="1">
      <c r="A43" s="51" t="s">
        <v>70</v>
      </c>
      <c r="B43" s="81" t="s">
        <v>84</v>
      </c>
      <c r="C43" s="51" t="s">
        <v>45</v>
      </c>
      <c r="D43" s="51" t="s">
        <v>50</v>
      </c>
      <c r="E43" s="51" t="s">
        <v>54</v>
      </c>
      <c r="F43" s="51" t="s">
        <v>86</v>
      </c>
      <c r="G43" s="52">
        <v>2</v>
      </c>
      <c r="H43" s="53">
        <f t="shared" si="6"/>
        <v>46055</v>
      </c>
      <c r="I43" s="53">
        <f t="shared" si="5"/>
        <v>46057</v>
      </c>
      <c r="J43" s="54">
        <f>G43/$N$7</f>
        <v>2</v>
      </c>
      <c r="K43" s="55" t="s">
        <v>22</v>
      </c>
    </row>
    <row r="44" spans="1:11">
      <c r="A44" s="51" t="s">
        <v>73</v>
      </c>
      <c r="B44" s="81" t="s">
        <v>84</v>
      </c>
      <c r="C44" s="51" t="s">
        <v>45</v>
      </c>
      <c r="D44" s="51" t="s">
        <v>278</v>
      </c>
      <c r="E44" s="51" t="s">
        <v>56</v>
      </c>
      <c r="F44" s="51" t="s">
        <v>279</v>
      </c>
      <c r="G44" s="52">
        <v>3</v>
      </c>
      <c r="H44" s="53">
        <f>WORKDAY(I43,1)</f>
        <v>46058</v>
      </c>
      <c r="I44" s="53">
        <f t="shared" si="5"/>
        <v>46063</v>
      </c>
      <c r="J44" s="86">
        <f>G44/$N$5</f>
        <v>3</v>
      </c>
      <c r="K44" s="55" t="s">
        <v>22</v>
      </c>
    </row>
    <row r="45" spans="1:11">
      <c r="A45" s="51" t="s">
        <v>70</v>
      </c>
      <c r="B45" s="81" t="s">
        <v>84</v>
      </c>
      <c r="C45" s="77" t="s">
        <v>87</v>
      </c>
      <c r="D45" s="51" t="s">
        <v>46</v>
      </c>
      <c r="E45" s="51" t="s">
        <v>88</v>
      </c>
      <c r="F45" s="51" t="s">
        <v>276</v>
      </c>
      <c r="G45" s="52">
        <v>2</v>
      </c>
      <c r="H45" s="53">
        <f>WORKDAY(I40,1)</f>
        <v>46045</v>
      </c>
      <c r="I45" s="53">
        <f t="shared" si="5"/>
        <v>46049</v>
      </c>
      <c r="J45" s="54">
        <f>G45/$N$7</f>
        <v>2</v>
      </c>
      <c r="K45" s="55" t="s">
        <v>22</v>
      </c>
    </row>
    <row r="46" spans="1:11">
      <c r="A46" s="51" t="s">
        <v>70</v>
      </c>
      <c r="B46" s="81" t="s">
        <v>84</v>
      </c>
      <c r="C46" s="77" t="s">
        <v>87</v>
      </c>
      <c r="D46" s="51" t="s">
        <v>46</v>
      </c>
      <c r="E46" s="51" t="s">
        <v>89</v>
      </c>
      <c r="F46" s="51" t="s">
        <v>276</v>
      </c>
      <c r="G46" s="52">
        <v>2</v>
      </c>
      <c r="H46" s="53">
        <f t="shared" ref="H46:H52" si="7">WORKDAY(I45,1)</f>
        <v>46050</v>
      </c>
      <c r="I46" s="53">
        <f t="shared" si="5"/>
        <v>46052</v>
      </c>
      <c r="J46" s="54">
        <f>G46/$N$7</f>
        <v>2</v>
      </c>
      <c r="K46" s="55" t="s">
        <v>22</v>
      </c>
    </row>
    <row r="47" spans="1:11" hidden="1">
      <c r="A47" s="51" t="s">
        <v>70</v>
      </c>
      <c r="B47" s="81" t="s">
        <v>84</v>
      </c>
      <c r="C47" s="77" t="s">
        <v>87</v>
      </c>
      <c r="D47" s="51" t="s">
        <v>50</v>
      </c>
      <c r="E47" s="51" t="s">
        <v>90</v>
      </c>
      <c r="F47" s="51" t="s">
        <v>62</v>
      </c>
      <c r="G47" s="52">
        <v>2</v>
      </c>
      <c r="H47" s="53">
        <f t="shared" si="7"/>
        <v>46055</v>
      </c>
      <c r="I47" s="53">
        <f t="shared" si="5"/>
        <v>46057</v>
      </c>
      <c r="J47" s="54">
        <f>G47/$N$8</f>
        <v>2</v>
      </c>
      <c r="K47" s="55" t="s">
        <v>22</v>
      </c>
    </row>
    <row r="48" spans="1:11" hidden="1">
      <c r="A48" s="51" t="s">
        <v>73</v>
      </c>
      <c r="B48" s="81" t="s">
        <v>84</v>
      </c>
      <c r="C48" s="77" t="s">
        <v>87</v>
      </c>
      <c r="D48" s="51" t="s">
        <v>50</v>
      </c>
      <c r="E48" s="51" t="s">
        <v>91</v>
      </c>
      <c r="F48" s="51" t="s">
        <v>86</v>
      </c>
      <c r="G48" s="52">
        <v>8</v>
      </c>
      <c r="H48" s="53">
        <f>WORKDAY(I46,1)</f>
        <v>46055</v>
      </c>
      <c r="I48" s="53">
        <f t="shared" si="5"/>
        <v>46065</v>
      </c>
      <c r="J48" s="54">
        <f>G48/$N$7</f>
        <v>8</v>
      </c>
      <c r="K48" s="55" t="s">
        <v>22</v>
      </c>
    </row>
    <row r="49" spans="1:11">
      <c r="A49" s="51" t="s">
        <v>73</v>
      </c>
      <c r="B49" s="81" t="s">
        <v>84</v>
      </c>
      <c r="C49" s="77" t="s">
        <v>87</v>
      </c>
      <c r="D49" s="51" t="s">
        <v>278</v>
      </c>
      <c r="E49" s="51" t="s">
        <v>92</v>
      </c>
      <c r="F49" s="51" t="s">
        <v>279</v>
      </c>
      <c r="G49" s="52">
        <v>2</v>
      </c>
      <c r="H49" s="53">
        <f t="shared" si="7"/>
        <v>46066</v>
      </c>
      <c r="I49" s="53">
        <f t="shared" si="5"/>
        <v>46070</v>
      </c>
      <c r="J49" s="86">
        <f>G49/$N$5</f>
        <v>2</v>
      </c>
      <c r="K49" s="55" t="s">
        <v>22</v>
      </c>
    </row>
    <row r="50" spans="1:11">
      <c r="A50" s="51" t="s">
        <v>80</v>
      </c>
      <c r="B50" s="81" t="s">
        <v>84</v>
      </c>
      <c r="C50" s="77" t="s">
        <v>93</v>
      </c>
      <c r="D50" s="51" t="s">
        <v>46</v>
      </c>
      <c r="E50" s="51" t="s">
        <v>94</v>
      </c>
      <c r="F50" s="51" t="s">
        <v>276</v>
      </c>
      <c r="G50" s="52">
        <v>2</v>
      </c>
      <c r="H50" s="53">
        <f>WORKDAY(I46,1)</f>
        <v>46055</v>
      </c>
      <c r="I50" s="53">
        <f t="shared" si="5"/>
        <v>46057</v>
      </c>
      <c r="J50" s="54">
        <f>G50/$N$7</f>
        <v>2</v>
      </c>
      <c r="K50" s="55" t="s">
        <v>22</v>
      </c>
    </row>
    <row r="51" spans="1:11">
      <c r="A51" s="51" t="s">
        <v>80</v>
      </c>
      <c r="B51" s="81" t="s">
        <v>84</v>
      </c>
      <c r="C51" s="77" t="s">
        <v>93</v>
      </c>
      <c r="D51" s="51" t="s">
        <v>46</v>
      </c>
      <c r="E51" s="51" t="s">
        <v>95</v>
      </c>
      <c r="F51" s="51" t="s">
        <v>276</v>
      </c>
      <c r="G51" s="52">
        <v>2</v>
      </c>
      <c r="H51" s="53">
        <f t="shared" si="7"/>
        <v>46058</v>
      </c>
      <c r="I51" s="53">
        <f t="shared" si="5"/>
        <v>46062</v>
      </c>
      <c r="J51" s="54">
        <f>G51/$N$7</f>
        <v>2</v>
      </c>
      <c r="K51" s="55" t="s">
        <v>22</v>
      </c>
    </row>
    <row r="52" spans="1:11" hidden="1">
      <c r="A52" s="51" t="s">
        <v>80</v>
      </c>
      <c r="B52" s="81" t="s">
        <v>84</v>
      </c>
      <c r="C52" s="77" t="s">
        <v>93</v>
      </c>
      <c r="D52" s="51" t="s">
        <v>50</v>
      </c>
      <c r="E52" s="51" t="s">
        <v>96</v>
      </c>
      <c r="F52" s="51" t="s">
        <v>62</v>
      </c>
      <c r="G52" s="52">
        <v>2</v>
      </c>
      <c r="H52" s="53">
        <f t="shared" si="7"/>
        <v>46063</v>
      </c>
      <c r="I52" s="53">
        <f t="shared" si="5"/>
        <v>46065</v>
      </c>
      <c r="J52" s="54">
        <f>G52/$N$8</f>
        <v>2</v>
      </c>
      <c r="K52" s="55" t="s">
        <v>22</v>
      </c>
    </row>
    <row r="53" spans="1:11" hidden="1">
      <c r="A53" s="51" t="s">
        <v>97</v>
      </c>
      <c r="B53" s="81" t="s">
        <v>84</v>
      </c>
      <c r="C53" s="77" t="s">
        <v>93</v>
      </c>
      <c r="D53" s="51" t="s">
        <v>50</v>
      </c>
      <c r="E53" s="51" t="s">
        <v>98</v>
      </c>
      <c r="F53" s="51" t="s">
        <v>99</v>
      </c>
      <c r="G53" s="52">
        <v>8</v>
      </c>
      <c r="H53" s="53">
        <f>WORKDAY(I51,1)</f>
        <v>46063</v>
      </c>
      <c r="I53" s="53">
        <f t="shared" si="5"/>
        <v>46073</v>
      </c>
      <c r="J53" s="54">
        <f>G53/$N$7</f>
        <v>8</v>
      </c>
      <c r="K53" s="55" t="s">
        <v>22</v>
      </c>
    </row>
    <row r="54" spans="1:11">
      <c r="A54" s="51" t="s">
        <v>100</v>
      </c>
      <c r="B54" s="81" t="s">
        <v>84</v>
      </c>
      <c r="C54" s="77" t="s">
        <v>93</v>
      </c>
      <c r="D54" s="51" t="s">
        <v>278</v>
      </c>
      <c r="E54" s="51" t="s">
        <v>101</v>
      </c>
      <c r="F54" s="51" t="s">
        <v>279</v>
      </c>
      <c r="G54" s="52">
        <v>2</v>
      </c>
      <c r="H54" s="53">
        <f>WORKDAY(I53,1)</f>
        <v>46076</v>
      </c>
      <c r="I54" s="53">
        <f t="shared" si="5"/>
        <v>46078</v>
      </c>
      <c r="J54" s="86">
        <f>G54/$N$5</f>
        <v>2</v>
      </c>
      <c r="K54" s="55" t="s">
        <v>22</v>
      </c>
    </row>
    <row r="55" spans="1:11">
      <c r="A55" s="51" t="s">
        <v>80</v>
      </c>
      <c r="B55" s="81" t="s">
        <v>84</v>
      </c>
      <c r="C55" s="77" t="s">
        <v>102</v>
      </c>
      <c r="D55" s="51" t="s">
        <v>46</v>
      </c>
      <c r="E55" s="51" t="s">
        <v>103</v>
      </c>
      <c r="F55" s="51" t="s">
        <v>276</v>
      </c>
      <c r="G55" s="52">
        <v>2</v>
      </c>
      <c r="H55" s="53">
        <f>WORKDAY(I51,1)</f>
        <v>46063</v>
      </c>
      <c r="I55" s="53">
        <f t="shared" si="5"/>
        <v>46065</v>
      </c>
      <c r="J55" s="54">
        <f t="shared" ref="J55:J73" si="8">G55/$N$5</f>
        <v>2</v>
      </c>
      <c r="K55" s="55" t="s">
        <v>22</v>
      </c>
    </row>
    <row r="56" spans="1:11">
      <c r="A56" s="51" t="s">
        <v>97</v>
      </c>
      <c r="B56" s="81" t="s">
        <v>84</v>
      </c>
      <c r="C56" s="77" t="s">
        <v>102</v>
      </c>
      <c r="D56" s="51" t="s">
        <v>46</v>
      </c>
      <c r="E56" s="51" t="s">
        <v>104</v>
      </c>
      <c r="F56" s="51" t="s">
        <v>276</v>
      </c>
      <c r="G56" s="52">
        <v>2</v>
      </c>
      <c r="H56" s="53">
        <f>WORKDAY(I55,1)</f>
        <v>46066</v>
      </c>
      <c r="I56" s="53">
        <f t="shared" si="5"/>
        <v>46070</v>
      </c>
      <c r="J56" s="54">
        <f t="shared" si="8"/>
        <v>2</v>
      </c>
      <c r="K56" s="55" t="s">
        <v>22</v>
      </c>
    </row>
    <row r="57" spans="1:11" hidden="1">
      <c r="A57" s="51" t="s">
        <v>97</v>
      </c>
      <c r="B57" s="81" t="s">
        <v>84</v>
      </c>
      <c r="C57" s="77" t="s">
        <v>102</v>
      </c>
      <c r="D57" s="51" t="s">
        <v>50</v>
      </c>
      <c r="E57" s="51" t="s">
        <v>105</v>
      </c>
      <c r="F57" s="51" t="s">
        <v>62</v>
      </c>
      <c r="G57" s="52">
        <v>2</v>
      </c>
      <c r="H57" s="53">
        <f t="shared" ref="H57:H74" si="9">WORKDAY(I56,1)</f>
        <v>46071</v>
      </c>
      <c r="I57" s="53">
        <f t="shared" si="5"/>
        <v>46073</v>
      </c>
      <c r="J57" s="54">
        <f>G57/$N$8</f>
        <v>2</v>
      </c>
      <c r="K57" s="55" t="s">
        <v>22</v>
      </c>
    </row>
    <row r="58" spans="1:11" hidden="1">
      <c r="A58" s="51" t="s">
        <v>100</v>
      </c>
      <c r="B58" s="81" t="s">
        <v>84</v>
      </c>
      <c r="C58" s="77" t="s">
        <v>102</v>
      </c>
      <c r="D58" s="51" t="s">
        <v>50</v>
      </c>
      <c r="E58" s="51" t="s">
        <v>106</v>
      </c>
      <c r="F58" s="51" t="s">
        <v>86</v>
      </c>
      <c r="G58" s="52">
        <v>8</v>
      </c>
      <c r="H58" s="53">
        <f>WORKDAY(I56,1)</f>
        <v>46071</v>
      </c>
      <c r="I58" s="53">
        <f t="shared" si="5"/>
        <v>46083</v>
      </c>
      <c r="J58" s="54">
        <f t="shared" si="8"/>
        <v>8</v>
      </c>
      <c r="K58" s="55" t="s">
        <v>22</v>
      </c>
    </row>
    <row r="59" spans="1:11">
      <c r="A59" s="51" t="s">
        <v>107</v>
      </c>
      <c r="B59" s="81" t="s">
        <v>84</v>
      </c>
      <c r="C59" s="77" t="s">
        <v>102</v>
      </c>
      <c r="D59" s="51" t="s">
        <v>278</v>
      </c>
      <c r="E59" s="51" t="s">
        <v>108</v>
      </c>
      <c r="F59" s="51" t="s">
        <v>279</v>
      </c>
      <c r="G59" s="52">
        <v>2</v>
      </c>
      <c r="H59" s="53">
        <f t="shared" si="9"/>
        <v>46084</v>
      </c>
      <c r="I59" s="53">
        <f t="shared" si="5"/>
        <v>46086</v>
      </c>
      <c r="J59" s="86">
        <f>G59/$N$5</f>
        <v>2</v>
      </c>
      <c r="K59" s="55" t="s">
        <v>22</v>
      </c>
    </row>
    <row r="60" spans="1:11">
      <c r="A60" s="51" t="s">
        <v>107</v>
      </c>
      <c r="B60" s="81" t="s">
        <v>84</v>
      </c>
      <c r="C60" s="77" t="s">
        <v>109</v>
      </c>
      <c r="D60" s="51" t="s">
        <v>46</v>
      </c>
      <c r="E60" s="51" t="s">
        <v>110</v>
      </c>
      <c r="F60" s="51" t="s">
        <v>276</v>
      </c>
      <c r="G60" s="52">
        <v>2</v>
      </c>
      <c r="H60" s="53">
        <f>WORKDAY(I56,1)</f>
        <v>46071</v>
      </c>
      <c r="I60" s="53">
        <f t="shared" si="5"/>
        <v>46073</v>
      </c>
      <c r="J60" s="54">
        <f t="shared" si="8"/>
        <v>2</v>
      </c>
      <c r="K60" s="55" t="s">
        <v>22</v>
      </c>
    </row>
    <row r="61" spans="1:11">
      <c r="A61" s="51" t="s">
        <v>107</v>
      </c>
      <c r="B61" s="81" t="s">
        <v>84</v>
      </c>
      <c r="C61" s="77" t="s">
        <v>109</v>
      </c>
      <c r="D61" s="51" t="s">
        <v>46</v>
      </c>
      <c r="E61" s="51" t="s">
        <v>111</v>
      </c>
      <c r="F61" s="51" t="s">
        <v>276</v>
      </c>
      <c r="G61" s="52">
        <v>2</v>
      </c>
      <c r="H61" s="53">
        <f t="shared" si="9"/>
        <v>46076</v>
      </c>
      <c r="I61" s="53">
        <f t="shared" si="5"/>
        <v>46078</v>
      </c>
      <c r="J61" s="54">
        <f t="shared" si="8"/>
        <v>2</v>
      </c>
      <c r="K61" s="55" t="s">
        <v>22</v>
      </c>
    </row>
    <row r="62" spans="1:11" hidden="1">
      <c r="A62" s="51" t="s">
        <v>107</v>
      </c>
      <c r="B62" s="81" t="s">
        <v>84</v>
      </c>
      <c r="C62" s="77" t="s">
        <v>109</v>
      </c>
      <c r="D62" s="51" t="s">
        <v>50</v>
      </c>
      <c r="E62" s="51" t="s">
        <v>112</v>
      </c>
      <c r="F62" s="51" t="s">
        <v>62</v>
      </c>
      <c r="G62" s="52">
        <v>2</v>
      </c>
      <c r="H62" s="53">
        <f t="shared" si="9"/>
        <v>46079</v>
      </c>
      <c r="I62" s="53">
        <f t="shared" si="5"/>
        <v>46083</v>
      </c>
      <c r="J62" s="54">
        <f>G62/$N$8</f>
        <v>2</v>
      </c>
      <c r="K62" s="55" t="s">
        <v>22</v>
      </c>
    </row>
    <row r="63" spans="1:11" hidden="1">
      <c r="A63" s="51" t="s">
        <v>113</v>
      </c>
      <c r="B63" s="81" t="s">
        <v>84</v>
      </c>
      <c r="C63" s="77" t="s">
        <v>109</v>
      </c>
      <c r="D63" s="51" t="s">
        <v>50</v>
      </c>
      <c r="E63" s="51" t="s">
        <v>114</v>
      </c>
      <c r="F63" s="51" t="s">
        <v>18</v>
      </c>
      <c r="G63" s="52">
        <v>8</v>
      </c>
      <c r="H63" s="53">
        <f>WORKDAY(I61,1)</f>
        <v>46079</v>
      </c>
      <c r="I63" s="53">
        <f t="shared" si="5"/>
        <v>46091</v>
      </c>
      <c r="J63" s="54">
        <f t="shared" si="8"/>
        <v>8</v>
      </c>
      <c r="K63" s="55" t="s">
        <v>22</v>
      </c>
    </row>
    <row r="64" spans="1:11">
      <c r="A64" s="51" t="s">
        <v>115</v>
      </c>
      <c r="B64" s="81" t="s">
        <v>84</v>
      </c>
      <c r="C64" s="77" t="s">
        <v>109</v>
      </c>
      <c r="D64" s="51" t="s">
        <v>278</v>
      </c>
      <c r="E64" s="51" t="s">
        <v>116</v>
      </c>
      <c r="F64" s="51" t="s">
        <v>279</v>
      </c>
      <c r="G64" s="52">
        <v>2</v>
      </c>
      <c r="H64" s="53">
        <f t="shared" si="9"/>
        <v>46092</v>
      </c>
      <c r="I64" s="53">
        <f t="shared" si="5"/>
        <v>46094</v>
      </c>
      <c r="J64" s="86">
        <f>G64/$N$5</f>
        <v>2</v>
      </c>
      <c r="K64" s="55" t="s">
        <v>22</v>
      </c>
    </row>
    <row r="65" spans="1:11">
      <c r="A65" s="51" t="s">
        <v>115</v>
      </c>
      <c r="B65" s="81" t="s">
        <v>84</v>
      </c>
      <c r="C65" s="77" t="s">
        <v>117</v>
      </c>
      <c r="D65" s="51" t="s">
        <v>46</v>
      </c>
      <c r="E65" s="51" t="s">
        <v>118</v>
      </c>
      <c r="F65" s="51" t="s">
        <v>276</v>
      </c>
      <c r="G65" s="52">
        <v>1</v>
      </c>
      <c r="H65" s="53">
        <f>WORKDAY(I61,1)</f>
        <v>46079</v>
      </c>
      <c r="I65" s="53">
        <f t="shared" si="5"/>
        <v>46080</v>
      </c>
      <c r="J65" s="54">
        <f t="shared" si="8"/>
        <v>1</v>
      </c>
      <c r="K65" s="55" t="s">
        <v>22</v>
      </c>
    </row>
    <row r="66" spans="1:11">
      <c r="A66" s="51" t="s">
        <v>115</v>
      </c>
      <c r="B66" s="81" t="s">
        <v>84</v>
      </c>
      <c r="C66" s="77" t="s">
        <v>117</v>
      </c>
      <c r="D66" s="51" t="s">
        <v>46</v>
      </c>
      <c r="E66" s="51" t="s">
        <v>119</v>
      </c>
      <c r="F66" s="51" t="s">
        <v>276</v>
      </c>
      <c r="G66" s="52">
        <v>2</v>
      </c>
      <c r="H66" s="53">
        <f t="shared" si="9"/>
        <v>46083</v>
      </c>
      <c r="I66" s="53">
        <f t="shared" si="5"/>
        <v>46085</v>
      </c>
      <c r="J66" s="54">
        <f t="shared" si="8"/>
        <v>2</v>
      </c>
      <c r="K66" s="55" t="s">
        <v>22</v>
      </c>
    </row>
    <row r="67" spans="1:11" hidden="1">
      <c r="A67" s="51" t="s">
        <v>115</v>
      </c>
      <c r="B67" s="81" t="s">
        <v>84</v>
      </c>
      <c r="C67" s="77" t="s">
        <v>117</v>
      </c>
      <c r="D67" s="51" t="s">
        <v>50</v>
      </c>
      <c r="E67" s="51" t="s">
        <v>120</v>
      </c>
      <c r="F67" s="51" t="s">
        <v>62</v>
      </c>
      <c r="G67" s="52">
        <v>1</v>
      </c>
      <c r="H67" s="53">
        <f t="shared" si="9"/>
        <v>46086</v>
      </c>
      <c r="I67" s="53">
        <f t="shared" si="5"/>
        <v>46087</v>
      </c>
      <c r="J67" s="54">
        <f>G67/$N$8</f>
        <v>1</v>
      </c>
      <c r="K67" s="55" t="s">
        <v>22</v>
      </c>
    </row>
    <row r="68" spans="1:11" hidden="1">
      <c r="A68" s="51" t="s">
        <v>121</v>
      </c>
      <c r="B68" s="81" t="s">
        <v>84</v>
      </c>
      <c r="C68" s="77" t="s">
        <v>117</v>
      </c>
      <c r="D68" s="51" t="s">
        <v>50</v>
      </c>
      <c r="E68" s="51" t="s">
        <v>122</v>
      </c>
      <c r="F68" s="51" t="s">
        <v>86</v>
      </c>
      <c r="G68" s="52">
        <v>3</v>
      </c>
      <c r="H68" s="53">
        <f>WORKDAY(I66,1)</f>
        <v>46086</v>
      </c>
      <c r="I68" s="53">
        <f t="shared" si="5"/>
        <v>46091</v>
      </c>
      <c r="J68" s="54">
        <f t="shared" si="8"/>
        <v>3</v>
      </c>
      <c r="K68" s="55" t="s">
        <v>22</v>
      </c>
    </row>
    <row r="69" spans="1:11">
      <c r="A69" s="51" t="s">
        <v>121</v>
      </c>
      <c r="B69" s="81" t="s">
        <v>84</v>
      </c>
      <c r="C69" s="77" t="s">
        <v>117</v>
      </c>
      <c r="D69" s="51" t="s">
        <v>278</v>
      </c>
      <c r="E69" s="51" t="s">
        <v>123</v>
      </c>
      <c r="F69" s="51" t="s">
        <v>279</v>
      </c>
      <c r="G69" s="52">
        <v>2</v>
      </c>
      <c r="H69" s="53">
        <f t="shared" si="9"/>
        <v>46092</v>
      </c>
      <c r="I69" s="53">
        <f t="shared" si="5"/>
        <v>46094</v>
      </c>
      <c r="J69" s="86">
        <f>G69/$N$5</f>
        <v>2</v>
      </c>
      <c r="K69" s="55" t="s">
        <v>22</v>
      </c>
    </row>
    <row r="70" spans="1:11">
      <c r="A70" s="51" t="s">
        <v>121</v>
      </c>
      <c r="B70" s="81" t="s">
        <v>84</v>
      </c>
      <c r="C70" s="77" t="s">
        <v>124</v>
      </c>
      <c r="D70" s="51" t="s">
        <v>46</v>
      </c>
      <c r="E70" s="51" t="s">
        <v>118</v>
      </c>
      <c r="F70" s="51" t="s">
        <v>276</v>
      </c>
      <c r="G70" s="52">
        <v>1</v>
      </c>
      <c r="H70" s="53">
        <f>WORKDAY(I66,1)</f>
        <v>46086</v>
      </c>
      <c r="I70" s="53">
        <f t="shared" si="5"/>
        <v>46087</v>
      </c>
      <c r="J70" s="54">
        <f t="shared" si="8"/>
        <v>1</v>
      </c>
      <c r="K70" s="55" t="s">
        <v>22</v>
      </c>
    </row>
    <row r="71" spans="1:11">
      <c r="A71" s="51" t="s">
        <v>125</v>
      </c>
      <c r="B71" s="81" t="s">
        <v>84</v>
      </c>
      <c r="C71" s="77" t="s">
        <v>124</v>
      </c>
      <c r="D71" s="51" t="s">
        <v>46</v>
      </c>
      <c r="E71" s="51" t="s">
        <v>119</v>
      </c>
      <c r="F71" s="51" t="s">
        <v>276</v>
      </c>
      <c r="G71" s="52">
        <v>2</v>
      </c>
      <c r="H71" s="53">
        <f t="shared" si="9"/>
        <v>46090</v>
      </c>
      <c r="I71" s="53">
        <f t="shared" si="5"/>
        <v>46092</v>
      </c>
      <c r="J71" s="54">
        <f t="shared" si="8"/>
        <v>2</v>
      </c>
      <c r="K71" s="55" t="s">
        <v>22</v>
      </c>
    </row>
    <row r="72" spans="1:11" hidden="1">
      <c r="A72" s="51" t="s">
        <v>125</v>
      </c>
      <c r="B72" s="81" t="s">
        <v>84</v>
      </c>
      <c r="C72" s="77" t="s">
        <v>124</v>
      </c>
      <c r="D72" s="51" t="s">
        <v>50</v>
      </c>
      <c r="E72" s="51" t="s">
        <v>120</v>
      </c>
      <c r="F72" s="51" t="s">
        <v>62</v>
      </c>
      <c r="G72" s="52">
        <v>2</v>
      </c>
      <c r="H72" s="53">
        <f t="shared" si="9"/>
        <v>46093</v>
      </c>
      <c r="I72" s="53">
        <f t="shared" si="5"/>
        <v>46097</v>
      </c>
      <c r="J72" s="54">
        <f>G72/$N$8</f>
        <v>2</v>
      </c>
      <c r="K72" s="55" t="s">
        <v>22</v>
      </c>
    </row>
    <row r="73" spans="1:11" hidden="1">
      <c r="A73" s="51" t="s">
        <v>125</v>
      </c>
      <c r="B73" s="81" t="s">
        <v>84</v>
      </c>
      <c r="C73" s="77" t="s">
        <v>124</v>
      </c>
      <c r="D73" s="51" t="s">
        <v>50</v>
      </c>
      <c r="E73" s="51" t="s">
        <v>122</v>
      </c>
      <c r="F73" s="51" t="s">
        <v>18</v>
      </c>
      <c r="G73" s="52">
        <v>2</v>
      </c>
      <c r="H73" s="53">
        <f>WORKDAY(I71,1)</f>
        <v>46093</v>
      </c>
      <c r="I73" s="53">
        <f t="shared" si="5"/>
        <v>46097</v>
      </c>
      <c r="J73" s="54">
        <f t="shared" si="8"/>
        <v>2</v>
      </c>
      <c r="K73" s="55" t="s">
        <v>22</v>
      </c>
    </row>
    <row r="74" spans="1:11">
      <c r="A74" s="51" t="s">
        <v>125</v>
      </c>
      <c r="B74" s="81" t="s">
        <v>84</v>
      </c>
      <c r="C74" s="77" t="s">
        <v>124</v>
      </c>
      <c r="D74" s="51" t="s">
        <v>278</v>
      </c>
      <c r="E74" s="51" t="s">
        <v>123</v>
      </c>
      <c r="F74" s="51" t="s">
        <v>279</v>
      </c>
      <c r="G74" s="52">
        <v>2</v>
      </c>
      <c r="H74" s="53">
        <f t="shared" si="9"/>
        <v>46098</v>
      </c>
      <c r="I74" s="53">
        <f t="shared" si="5"/>
        <v>46100</v>
      </c>
      <c r="J74" s="86">
        <f>G74/$N$5</f>
        <v>2</v>
      </c>
      <c r="K74" s="55" t="s">
        <v>22</v>
      </c>
    </row>
    <row r="75" spans="1:11">
      <c r="A75" s="51" t="s">
        <v>73</v>
      </c>
      <c r="B75" s="81" t="s">
        <v>84</v>
      </c>
      <c r="C75" s="51" t="s">
        <v>126</v>
      </c>
      <c r="D75" s="51" t="s">
        <v>46</v>
      </c>
      <c r="E75" s="51" t="s">
        <v>127</v>
      </c>
      <c r="F75" s="51" t="s">
        <v>276</v>
      </c>
      <c r="G75" s="52">
        <v>1</v>
      </c>
      <c r="H75" s="53">
        <f>WORKDAY(I71,1)</f>
        <v>46093</v>
      </c>
      <c r="I75" s="53">
        <f t="shared" si="5"/>
        <v>46094</v>
      </c>
      <c r="J75" s="54">
        <f>G75/$N$6</f>
        <v>1</v>
      </c>
      <c r="K75" s="55" t="s">
        <v>22</v>
      </c>
    </row>
    <row r="76" spans="1:11">
      <c r="A76" s="51" t="s">
        <v>80</v>
      </c>
      <c r="B76" s="81" t="s">
        <v>84</v>
      </c>
      <c r="C76" s="51" t="s">
        <v>126</v>
      </c>
      <c r="D76" s="51" t="s">
        <v>46</v>
      </c>
      <c r="E76" s="51" t="s">
        <v>128</v>
      </c>
      <c r="F76" s="51" t="s">
        <v>276</v>
      </c>
      <c r="G76" s="52">
        <v>1</v>
      </c>
      <c r="H76" s="53">
        <f t="shared" ref="H76:H77" si="10">WORKDAY(I75,1)</f>
        <v>46097</v>
      </c>
      <c r="I76" s="53">
        <f t="shared" si="5"/>
        <v>46098</v>
      </c>
      <c r="J76" s="54">
        <f>G76/$N$6</f>
        <v>1</v>
      </c>
      <c r="K76" s="55" t="s">
        <v>22</v>
      </c>
    </row>
    <row r="77" spans="1:11" hidden="1">
      <c r="A77" s="51" t="s">
        <v>80</v>
      </c>
      <c r="B77" s="81" t="s">
        <v>84</v>
      </c>
      <c r="C77" s="51" t="s">
        <v>126</v>
      </c>
      <c r="D77" s="51" t="s">
        <v>50</v>
      </c>
      <c r="E77" s="51" t="s">
        <v>129</v>
      </c>
      <c r="F77" s="51" t="s">
        <v>62</v>
      </c>
      <c r="G77" s="52">
        <v>1</v>
      </c>
      <c r="H77" s="53">
        <f t="shared" si="10"/>
        <v>46099</v>
      </c>
      <c r="I77" s="53">
        <f t="shared" si="5"/>
        <v>46100</v>
      </c>
      <c r="J77" s="54">
        <f>G77/$N$8</f>
        <v>1</v>
      </c>
      <c r="K77" s="55" t="s">
        <v>22</v>
      </c>
    </row>
    <row r="78" spans="1:11" hidden="1">
      <c r="A78" s="51" t="s">
        <v>80</v>
      </c>
      <c r="B78" s="81" t="s">
        <v>84</v>
      </c>
      <c r="C78" s="51" t="s">
        <v>126</v>
      </c>
      <c r="D78" s="51" t="s">
        <v>50</v>
      </c>
      <c r="E78" s="51" t="s">
        <v>130</v>
      </c>
      <c r="F78" s="51" t="s">
        <v>86</v>
      </c>
      <c r="G78" s="52">
        <v>2</v>
      </c>
      <c r="H78" s="53">
        <f>WORKDAY(I76,1)</f>
        <v>46099</v>
      </c>
      <c r="I78" s="53">
        <f t="shared" si="5"/>
        <v>46101</v>
      </c>
      <c r="J78" s="54">
        <f>G78/$N$7</f>
        <v>2</v>
      </c>
      <c r="K78" s="55" t="s">
        <v>22</v>
      </c>
    </row>
    <row r="79" spans="1:11">
      <c r="A79" s="51" t="s">
        <v>97</v>
      </c>
      <c r="B79" s="81" t="s">
        <v>84</v>
      </c>
      <c r="C79" s="51" t="s">
        <v>126</v>
      </c>
      <c r="D79" s="51" t="s">
        <v>278</v>
      </c>
      <c r="E79" s="51" t="s">
        <v>131</v>
      </c>
      <c r="F79" s="51" t="s">
        <v>279</v>
      </c>
      <c r="G79" s="52">
        <v>1</v>
      </c>
      <c r="H79" s="53">
        <f>WORKDAY(I78,1)</f>
        <v>46104</v>
      </c>
      <c r="I79" s="53">
        <f t="shared" si="5"/>
        <v>46105</v>
      </c>
      <c r="J79" s="86">
        <f>G79/$N$5</f>
        <v>1</v>
      </c>
      <c r="K79" s="55" t="s">
        <v>22</v>
      </c>
    </row>
    <row r="80" spans="1:11">
      <c r="A80" s="51" t="s">
        <v>97</v>
      </c>
      <c r="B80" s="81" t="s">
        <v>84</v>
      </c>
      <c r="C80" s="51" t="s">
        <v>132</v>
      </c>
      <c r="D80" s="51" t="s">
        <v>46</v>
      </c>
      <c r="E80" s="51" t="s">
        <v>133</v>
      </c>
      <c r="F80" s="51" t="s">
        <v>276</v>
      </c>
      <c r="G80" s="52">
        <v>1</v>
      </c>
      <c r="H80" s="53">
        <f>WORKDAY(I76,1)</f>
        <v>46099</v>
      </c>
      <c r="I80" s="53">
        <f t="shared" si="5"/>
        <v>46100</v>
      </c>
      <c r="J80" s="54">
        <f>G80/$N$6</f>
        <v>1</v>
      </c>
      <c r="K80" s="102" t="s">
        <v>22</v>
      </c>
    </row>
    <row r="81" spans="1:11">
      <c r="A81" s="51" t="s">
        <v>100</v>
      </c>
      <c r="B81" s="81" t="s">
        <v>84</v>
      </c>
      <c r="C81" s="51" t="s">
        <v>132</v>
      </c>
      <c r="D81" s="51" t="s">
        <v>46</v>
      </c>
      <c r="E81" s="51" t="s">
        <v>134</v>
      </c>
      <c r="F81" s="51" t="s">
        <v>276</v>
      </c>
      <c r="G81" s="52">
        <v>1</v>
      </c>
      <c r="H81" s="53">
        <f t="shared" ref="H81" si="11">WORKDAY(I80,1)</f>
        <v>46101</v>
      </c>
      <c r="I81" s="53">
        <f t="shared" si="5"/>
        <v>46104</v>
      </c>
      <c r="J81" s="54">
        <f>G81/$N$6</f>
        <v>1</v>
      </c>
      <c r="K81" s="102" t="s">
        <v>22</v>
      </c>
    </row>
    <row r="82" spans="1:11" hidden="1">
      <c r="A82" s="51" t="s">
        <v>100</v>
      </c>
      <c r="B82" s="81" t="s">
        <v>84</v>
      </c>
      <c r="C82" s="51" t="s">
        <v>132</v>
      </c>
      <c r="D82" s="51" t="s">
        <v>50</v>
      </c>
      <c r="E82" s="51" t="s">
        <v>135</v>
      </c>
      <c r="F82" s="51" t="s">
        <v>62</v>
      </c>
      <c r="G82" s="52">
        <v>1</v>
      </c>
      <c r="H82" s="53">
        <f>WORKDAY(I81,1)</f>
        <v>46105</v>
      </c>
      <c r="I82" s="53">
        <f t="shared" si="5"/>
        <v>46106</v>
      </c>
      <c r="J82" s="54">
        <f>G82/$N$8</f>
        <v>1</v>
      </c>
      <c r="K82" s="102" t="s">
        <v>22</v>
      </c>
    </row>
    <row r="83" spans="1:11" hidden="1">
      <c r="A83" s="51" t="s">
        <v>100</v>
      </c>
      <c r="B83" s="81" t="s">
        <v>84</v>
      </c>
      <c r="C83" s="51" t="s">
        <v>132</v>
      </c>
      <c r="D83" s="51" t="s">
        <v>50</v>
      </c>
      <c r="E83" s="51" t="s">
        <v>136</v>
      </c>
      <c r="F83" s="51" t="s">
        <v>86</v>
      </c>
      <c r="G83" s="52">
        <v>2</v>
      </c>
      <c r="H83" s="53">
        <f>WORKDAY(I81,1)</f>
        <v>46105</v>
      </c>
      <c r="I83" s="53">
        <f t="shared" si="5"/>
        <v>46107</v>
      </c>
      <c r="J83" s="54">
        <f>G83/$N$7</f>
        <v>2</v>
      </c>
      <c r="K83" s="102" t="s">
        <v>22</v>
      </c>
    </row>
    <row r="84" spans="1:11">
      <c r="A84" s="51" t="s">
        <v>107</v>
      </c>
      <c r="B84" s="81" t="s">
        <v>84</v>
      </c>
      <c r="C84" s="51" t="s">
        <v>132</v>
      </c>
      <c r="D84" s="51" t="s">
        <v>278</v>
      </c>
      <c r="E84" s="51" t="s">
        <v>137</v>
      </c>
      <c r="F84" s="51" t="s">
        <v>279</v>
      </c>
      <c r="G84" s="52">
        <v>1</v>
      </c>
      <c r="H84" s="53">
        <f>WORKDAY(I83,1)</f>
        <v>46108</v>
      </c>
      <c r="I84" s="53">
        <f t="shared" si="5"/>
        <v>46111</v>
      </c>
      <c r="J84" s="86">
        <f>G84/$N$5</f>
        <v>1</v>
      </c>
      <c r="K84" s="102" t="s">
        <v>22</v>
      </c>
    </row>
    <row r="85" spans="1:11">
      <c r="A85" s="51" t="s">
        <v>107</v>
      </c>
      <c r="B85" s="81" t="s">
        <v>84</v>
      </c>
      <c r="C85" s="51" t="s">
        <v>138</v>
      </c>
      <c r="D85" s="51" t="s">
        <v>46</v>
      </c>
      <c r="E85" s="51" t="s">
        <v>139</v>
      </c>
      <c r="F85" s="51" t="s">
        <v>276</v>
      </c>
      <c r="G85" s="52">
        <v>2</v>
      </c>
      <c r="H85" s="53">
        <f>WORKDAY(I81,1)</f>
        <v>46105</v>
      </c>
      <c r="I85" s="53">
        <f>WORKDAY(H85,J85)</f>
        <v>46107</v>
      </c>
      <c r="J85" s="54">
        <f>G85/$N$6</f>
        <v>2</v>
      </c>
      <c r="K85" s="102" t="s">
        <v>22</v>
      </c>
    </row>
    <row r="86" spans="1:11">
      <c r="A86" s="51" t="s">
        <v>113</v>
      </c>
      <c r="B86" s="81" t="s">
        <v>84</v>
      </c>
      <c r="C86" s="51" t="s">
        <v>138</v>
      </c>
      <c r="D86" s="51" t="s">
        <v>46</v>
      </c>
      <c r="E86" s="51" t="s">
        <v>140</v>
      </c>
      <c r="F86" s="51" t="s">
        <v>276</v>
      </c>
      <c r="G86" s="52">
        <v>2</v>
      </c>
      <c r="H86" s="53">
        <f t="shared" ref="H86:H89" si="12">WORKDAY(I85,1)</f>
        <v>46108</v>
      </c>
      <c r="I86" s="53">
        <f t="shared" ref="I86:I109" si="13">WORKDAY(H86,J86)</f>
        <v>46112</v>
      </c>
      <c r="J86" s="54">
        <f>G86/$N$6</f>
        <v>2</v>
      </c>
      <c r="K86" s="102" t="s">
        <v>22</v>
      </c>
    </row>
    <row r="87" spans="1:11" hidden="1">
      <c r="A87" s="51" t="s">
        <v>113</v>
      </c>
      <c r="B87" s="81" t="s">
        <v>84</v>
      </c>
      <c r="C87" s="51" t="s">
        <v>138</v>
      </c>
      <c r="D87" s="51" t="s">
        <v>50</v>
      </c>
      <c r="E87" s="51" t="s">
        <v>141</v>
      </c>
      <c r="F87" s="51" t="s">
        <v>62</v>
      </c>
      <c r="G87" s="52">
        <v>3</v>
      </c>
      <c r="H87" s="53">
        <f t="shared" si="12"/>
        <v>46113</v>
      </c>
      <c r="I87" s="53">
        <f t="shared" si="13"/>
        <v>46118</v>
      </c>
      <c r="J87" s="54">
        <f>G87/$N$8</f>
        <v>3</v>
      </c>
      <c r="K87" s="102" t="s">
        <v>22</v>
      </c>
    </row>
    <row r="88" spans="1:11" hidden="1">
      <c r="A88" s="51" t="s">
        <v>115</v>
      </c>
      <c r="B88" s="81" t="s">
        <v>84</v>
      </c>
      <c r="C88" s="51" t="s">
        <v>138</v>
      </c>
      <c r="D88" s="51" t="s">
        <v>50</v>
      </c>
      <c r="E88" s="51" t="s">
        <v>142</v>
      </c>
      <c r="F88" s="51" t="s">
        <v>86</v>
      </c>
      <c r="G88" s="52">
        <v>5</v>
      </c>
      <c r="H88" s="53">
        <f>WORKDAY(I86,1)</f>
        <v>46113</v>
      </c>
      <c r="I88" s="53">
        <f t="shared" si="13"/>
        <v>46120</v>
      </c>
      <c r="J88" s="54">
        <f>G88/$N$7</f>
        <v>5</v>
      </c>
      <c r="K88" s="102" t="s">
        <v>22</v>
      </c>
    </row>
    <row r="89" spans="1:11">
      <c r="A89" s="51" t="s">
        <v>121</v>
      </c>
      <c r="B89" s="81" t="s">
        <v>84</v>
      </c>
      <c r="C89" s="51" t="s">
        <v>138</v>
      </c>
      <c r="D89" s="51" t="s">
        <v>278</v>
      </c>
      <c r="E89" s="51" t="s">
        <v>143</v>
      </c>
      <c r="F89" s="51" t="s">
        <v>279</v>
      </c>
      <c r="G89" s="52">
        <v>1</v>
      </c>
      <c r="H89" s="53">
        <f t="shared" si="12"/>
        <v>46121</v>
      </c>
      <c r="I89" s="53">
        <f t="shared" si="13"/>
        <v>46122</v>
      </c>
      <c r="J89" s="86">
        <f>G89/$N$5</f>
        <v>1</v>
      </c>
      <c r="K89" s="102" t="s">
        <v>22</v>
      </c>
    </row>
    <row r="90" spans="1:11">
      <c r="A90" s="51" t="s">
        <v>121</v>
      </c>
      <c r="B90" s="81" t="s">
        <v>84</v>
      </c>
      <c r="C90" s="51" t="s">
        <v>144</v>
      </c>
      <c r="D90" s="51" t="s">
        <v>46</v>
      </c>
      <c r="E90" s="51" t="s">
        <v>145</v>
      </c>
      <c r="F90" s="51" t="s">
        <v>276</v>
      </c>
      <c r="G90" s="52">
        <v>1</v>
      </c>
      <c r="H90" s="53">
        <f>WORKDAY(I86,1)</f>
        <v>46113</v>
      </c>
      <c r="I90" s="53">
        <f t="shared" si="13"/>
        <v>46114</v>
      </c>
      <c r="J90" s="54">
        <f>G90/$N$6</f>
        <v>1</v>
      </c>
      <c r="K90" s="102" t="s">
        <v>22</v>
      </c>
    </row>
    <row r="91" spans="1:11">
      <c r="A91" s="51" t="s">
        <v>121</v>
      </c>
      <c r="B91" s="81" t="s">
        <v>84</v>
      </c>
      <c r="C91" s="51" t="s">
        <v>144</v>
      </c>
      <c r="D91" s="51" t="s">
        <v>46</v>
      </c>
      <c r="E91" s="51" t="s">
        <v>146</v>
      </c>
      <c r="F91" s="51" t="s">
        <v>276</v>
      </c>
      <c r="G91" s="52">
        <v>2</v>
      </c>
      <c r="H91" s="53">
        <f>WORKDAY(I90,1)</f>
        <v>46115</v>
      </c>
      <c r="I91" s="53">
        <f t="shared" si="13"/>
        <v>46119</v>
      </c>
      <c r="J91" s="54">
        <f>G91/$N$6</f>
        <v>2</v>
      </c>
      <c r="K91" s="102" t="s">
        <v>22</v>
      </c>
    </row>
    <row r="92" spans="1:11" hidden="1">
      <c r="A92" s="51" t="s">
        <v>125</v>
      </c>
      <c r="B92" s="81" t="s">
        <v>84</v>
      </c>
      <c r="C92" s="51" t="s">
        <v>144</v>
      </c>
      <c r="D92" s="51" t="s">
        <v>50</v>
      </c>
      <c r="E92" s="51" t="s">
        <v>147</v>
      </c>
      <c r="F92" s="51" t="s">
        <v>62</v>
      </c>
      <c r="G92" s="52">
        <v>2</v>
      </c>
      <c r="H92" s="53">
        <f t="shared" ref="H92:H99" si="14">WORKDAY(I91,1)</f>
        <v>46120</v>
      </c>
      <c r="I92" s="53">
        <f t="shared" si="13"/>
        <v>46122</v>
      </c>
      <c r="J92" s="54">
        <f>G92/$N$8</f>
        <v>2</v>
      </c>
      <c r="K92" s="102" t="s">
        <v>22</v>
      </c>
    </row>
    <row r="93" spans="1:11" hidden="1">
      <c r="A93" s="51" t="s">
        <v>125</v>
      </c>
      <c r="B93" s="81" t="s">
        <v>84</v>
      </c>
      <c r="C93" s="51" t="s">
        <v>144</v>
      </c>
      <c r="D93" s="51" t="s">
        <v>50</v>
      </c>
      <c r="E93" s="51" t="s">
        <v>148</v>
      </c>
      <c r="F93" s="51" t="s">
        <v>86</v>
      </c>
      <c r="G93" s="52">
        <v>4</v>
      </c>
      <c r="H93" s="53">
        <f t="shared" si="14"/>
        <v>46125</v>
      </c>
      <c r="I93" s="53">
        <f t="shared" si="13"/>
        <v>46129</v>
      </c>
      <c r="J93" s="54">
        <f>G93/$N$7</f>
        <v>4</v>
      </c>
      <c r="K93" s="102" t="s">
        <v>22</v>
      </c>
    </row>
    <row r="94" spans="1:11">
      <c r="A94" s="51" t="s">
        <v>149</v>
      </c>
      <c r="B94" s="81" t="s">
        <v>84</v>
      </c>
      <c r="C94" s="51" t="s">
        <v>144</v>
      </c>
      <c r="D94" s="51" t="s">
        <v>278</v>
      </c>
      <c r="E94" s="51" t="s">
        <v>150</v>
      </c>
      <c r="F94" s="51" t="s">
        <v>279</v>
      </c>
      <c r="G94" s="52">
        <v>2</v>
      </c>
      <c r="H94" s="53">
        <f t="shared" ref="H94" si="15">WORKDAY(I93,1)</f>
        <v>46132</v>
      </c>
      <c r="I94" s="53">
        <f t="shared" si="13"/>
        <v>46134</v>
      </c>
      <c r="J94" s="86">
        <f>G94/$N$5</f>
        <v>2</v>
      </c>
      <c r="K94" s="102" t="s">
        <v>22</v>
      </c>
    </row>
    <row r="95" spans="1:11">
      <c r="A95" s="51" t="s">
        <v>151</v>
      </c>
      <c r="B95" s="81" t="s">
        <v>84</v>
      </c>
      <c r="C95" s="51" t="s">
        <v>152</v>
      </c>
      <c r="D95" s="51" t="s">
        <v>46</v>
      </c>
      <c r="E95" s="51" t="s">
        <v>153</v>
      </c>
      <c r="F95" s="51" t="s">
        <v>276</v>
      </c>
      <c r="G95" s="52">
        <v>0.5</v>
      </c>
      <c r="H95" s="53">
        <f>WORKDAY(I91,1)</f>
        <v>46120</v>
      </c>
      <c r="I95" s="53">
        <f t="shared" si="13"/>
        <v>46120</v>
      </c>
      <c r="J95" s="54">
        <f>G95/$N$6</f>
        <v>0.5</v>
      </c>
      <c r="K95" s="102" t="s">
        <v>22</v>
      </c>
    </row>
    <row r="96" spans="1:11">
      <c r="A96" s="51" t="s">
        <v>151</v>
      </c>
      <c r="B96" s="81" t="s">
        <v>84</v>
      </c>
      <c r="C96" s="51" t="s">
        <v>152</v>
      </c>
      <c r="D96" s="51" t="s">
        <v>46</v>
      </c>
      <c r="E96" s="51" t="s">
        <v>154</v>
      </c>
      <c r="F96" s="51" t="s">
        <v>276</v>
      </c>
      <c r="G96" s="52">
        <v>0.5</v>
      </c>
      <c r="H96" s="53">
        <f t="shared" si="14"/>
        <v>46121</v>
      </c>
      <c r="I96" s="53">
        <f t="shared" si="13"/>
        <v>46121</v>
      </c>
      <c r="J96" s="54">
        <f>G96/$N$6</f>
        <v>0.5</v>
      </c>
      <c r="K96" s="102" t="s">
        <v>22</v>
      </c>
    </row>
    <row r="97" spans="1:11" hidden="1">
      <c r="A97" s="51" t="s">
        <v>151</v>
      </c>
      <c r="B97" s="81" t="s">
        <v>84</v>
      </c>
      <c r="C97" s="51" t="s">
        <v>152</v>
      </c>
      <c r="D97" s="51" t="s">
        <v>50</v>
      </c>
      <c r="E97" s="51" t="s">
        <v>155</v>
      </c>
      <c r="F97" s="51" t="s">
        <v>62</v>
      </c>
      <c r="G97" s="52">
        <v>1.5</v>
      </c>
      <c r="H97" s="53">
        <f>WORKDAY(I96,1)</f>
        <v>46122</v>
      </c>
      <c r="I97" s="53">
        <f t="shared" si="13"/>
        <v>46125</v>
      </c>
      <c r="J97" s="54">
        <f>G97/$N$8</f>
        <v>1.5</v>
      </c>
      <c r="K97" s="102" t="s">
        <v>22</v>
      </c>
    </row>
    <row r="98" spans="1:11" hidden="1">
      <c r="A98" s="51" t="s">
        <v>156</v>
      </c>
      <c r="B98" s="81" t="s">
        <v>84</v>
      </c>
      <c r="C98" s="51" t="s">
        <v>152</v>
      </c>
      <c r="D98" s="51" t="s">
        <v>50</v>
      </c>
      <c r="E98" s="51" t="s">
        <v>157</v>
      </c>
      <c r="F98" s="51" t="s">
        <v>86</v>
      </c>
      <c r="G98" s="52">
        <v>2.5</v>
      </c>
      <c r="H98" s="53">
        <f>WORKDAY(I96,1)</f>
        <v>46122</v>
      </c>
      <c r="I98" s="53">
        <f t="shared" si="13"/>
        <v>46126</v>
      </c>
      <c r="J98" s="54">
        <f>G98/$N$7</f>
        <v>2.5</v>
      </c>
      <c r="K98" s="102" t="s">
        <v>22</v>
      </c>
    </row>
    <row r="99" spans="1:11">
      <c r="A99" s="51" t="s">
        <v>156</v>
      </c>
      <c r="B99" s="81" t="s">
        <v>84</v>
      </c>
      <c r="C99" s="51" t="s">
        <v>152</v>
      </c>
      <c r="D99" s="51" t="s">
        <v>278</v>
      </c>
      <c r="E99" s="51" t="s">
        <v>158</v>
      </c>
      <c r="F99" s="51" t="s">
        <v>279</v>
      </c>
      <c r="G99" s="52">
        <v>1</v>
      </c>
      <c r="H99" s="53">
        <f t="shared" si="14"/>
        <v>46127</v>
      </c>
      <c r="I99" s="53">
        <f t="shared" si="13"/>
        <v>46128</v>
      </c>
      <c r="J99" s="86">
        <f>G99/$N$5</f>
        <v>1</v>
      </c>
      <c r="K99" s="102" t="s">
        <v>22</v>
      </c>
    </row>
    <row r="100" spans="1:11">
      <c r="A100" s="51" t="s">
        <v>159</v>
      </c>
      <c r="B100" s="81" t="s">
        <v>84</v>
      </c>
      <c r="C100" s="51" t="s">
        <v>160</v>
      </c>
      <c r="D100" s="51" t="s">
        <v>46</v>
      </c>
      <c r="E100" s="51" t="s">
        <v>161</v>
      </c>
      <c r="F100" s="51" t="s">
        <v>276</v>
      </c>
      <c r="G100" s="52">
        <v>2</v>
      </c>
      <c r="H100" s="53">
        <f>WORKDAY(I96,1)</f>
        <v>46122</v>
      </c>
      <c r="I100" s="53">
        <f t="shared" si="13"/>
        <v>46126</v>
      </c>
      <c r="J100" s="54">
        <f>G100/$N$6</f>
        <v>2</v>
      </c>
      <c r="K100" s="102" t="s">
        <v>22</v>
      </c>
    </row>
    <row r="101" spans="1:11">
      <c r="A101" s="51" t="s">
        <v>159</v>
      </c>
      <c r="B101" s="81" t="s">
        <v>84</v>
      </c>
      <c r="C101" s="51" t="s">
        <v>160</v>
      </c>
      <c r="D101" s="51" t="s">
        <v>46</v>
      </c>
      <c r="E101" s="51" t="s">
        <v>162</v>
      </c>
      <c r="F101" s="51" t="s">
        <v>276</v>
      </c>
      <c r="G101" s="52">
        <v>2</v>
      </c>
      <c r="H101" s="53">
        <f>WORKDAY(I100,1)</f>
        <v>46127</v>
      </c>
      <c r="I101" s="53">
        <f t="shared" si="13"/>
        <v>46129</v>
      </c>
      <c r="J101" s="54">
        <f>G101/$N$6</f>
        <v>2</v>
      </c>
      <c r="K101" s="102" t="s">
        <v>22</v>
      </c>
    </row>
    <row r="102" spans="1:11" hidden="1">
      <c r="A102" s="51" t="s">
        <v>159</v>
      </c>
      <c r="B102" s="81" t="s">
        <v>84</v>
      </c>
      <c r="C102" s="51" t="s">
        <v>160</v>
      </c>
      <c r="D102" s="51" t="s">
        <v>50</v>
      </c>
      <c r="E102" s="51" t="s">
        <v>163</v>
      </c>
      <c r="F102" s="51" t="s">
        <v>62</v>
      </c>
      <c r="G102" s="52">
        <v>2</v>
      </c>
      <c r="H102" s="53">
        <f t="shared" ref="H102:H104" si="16">I101</f>
        <v>46129</v>
      </c>
      <c r="I102" s="53">
        <f t="shared" si="13"/>
        <v>46133</v>
      </c>
      <c r="J102" s="54">
        <f>G102/$N$8</f>
        <v>2</v>
      </c>
      <c r="K102" s="102" t="s">
        <v>22</v>
      </c>
    </row>
    <row r="103" spans="1:11" hidden="1">
      <c r="A103" s="51" t="s">
        <v>164</v>
      </c>
      <c r="B103" s="81" t="s">
        <v>84</v>
      </c>
      <c r="C103" s="51" t="s">
        <v>160</v>
      </c>
      <c r="D103" s="51" t="s">
        <v>50</v>
      </c>
      <c r="E103" s="51" t="s">
        <v>165</v>
      </c>
      <c r="F103" s="51" t="s">
        <v>86</v>
      </c>
      <c r="G103" s="52">
        <v>5</v>
      </c>
      <c r="H103" s="53">
        <f t="shared" si="16"/>
        <v>46133</v>
      </c>
      <c r="I103" s="53">
        <f t="shared" si="13"/>
        <v>46140</v>
      </c>
      <c r="J103" s="54">
        <f>G103/$N$7</f>
        <v>5</v>
      </c>
      <c r="K103" s="102" t="s">
        <v>22</v>
      </c>
    </row>
    <row r="104" spans="1:11">
      <c r="A104" s="51" t="s">
        <v>166</v>
      </c>
      <c r="B104" s="81" t="s">
        <v>84</v>
      </c>
      <c r="C104" s="51" t="s">
        <v>160</v>
      </c>
      <c r="D104" s="51" t="s">
        <v>278</v>
      </c>
      <c r="E104" s="51" t="s">
        <v>167</v>
      </c>
      <c r="F104" s="51" t="s">
        <v>279</v>
      </c>
      <c r="G104" s="52">
        <v>2</v>
      </c>
      <c r="H104" s="53">
        <f t="shared" si="16"/>
        <v>46140</v>
      </c>
      <c r="I104" s="53">
        <f t="shared" si="13"/>
        <v>46142</v>
      </c>
      <c r="J104" s="86">
        <f>G104/$N$5</f>
        <v>2</v>
      </c>
      <c r="K104" s="102" t="s">
        <v>22</v>
      </c>
    </row>
    <row r="105" spans="1:11">
      <c r="A105" s="51" t="s">
        <v>166</v>
      </c>
      <c r="B105" s="81" t="s">
        <v>84</v>
      </c>
      <c r="C105" s="51" t="s">
        <v>168</v>
      </c>
      <c r="D105" s="51" t="s">
        <v>46</v>
      </c>
      <c r="E105" s="51" t="s">
        <v>169</v>
      </c>
      <c r="F105" s="51" t="s">
        <v>276</v>
      </c>
      <c r="G105" s="52">
        <v>0.5</v>
      </c>
      <c r="H105" s="53">
        <f>WORKDAY(I101,1)</f>
        <v>46132</v>
      </c>
      <c r="I105" s="53">
        <f t="shared" si="13"/>
        <v>46132</v>
      </c>
      <c r="J105" s="54">
        <f>G105/$N$6</f>
        <v>0.5</v>
      </c>
      <c r="K105" s="102" t="s">
        <v>22</v>
      </c>
    </row>
    <row r="106" spans="1:11">
      <c r="A106" s="51" t="s">
        <v>166</v>
      </c>
      <c r="B106" s="81" t="s">
        <v>84</v>
      </c>
      <c r="C106" s="51" t="s">
        <v>168</v>
      </c>
      <c r="D106" s="51" t="s">
        <v>46</v>
      </c>
      <c r="E106" s="51" t="s">
        <v>170</v>
      </c>
      <c r="F106" s="51" t="s">
        <v>276</v>
      </c>
      <c r="G106" s="52">
        <v>0.5</v>
      </c>
      <c r="H106" s="53">
        <f>WORKDAY(I105,1)</f>
        <v>46133</v>
      </c>
      <c r="I106" s="53">
        <f t="shared" si="13"/>
        <v>46133</v>
      </c>
      <c r="J106" s="54">
        <f>G106/$N$6</f>
        <v>0.5</v>
      </c>
      <c r="K106" s="102" t="s">
        <v>22</v>
      </c>
    </row>
    <row r="107" spans="1:11" hidden="1">
      <c r="A107" s="51" t="s">
        <v>166</v>
      </c>
      <c r="B107" s="81" t="s">
        <v>84</v>
      </c>
      <c r="C107" s="51" t="s">
        <v>168</v>
      </c>
      <c r="D107" s="51" t="s">
        <v>50</v>
      </c>
      <c r="E107" s="51" t="s">
        <v>171</v>
      </c>
      <c r="F107" s="51" t="s">
        <v>62</v>
      </c>
      <c r="G107" s="52">
        <v>2</v>
      </c>
      <c r="H107" s="53">
        <f>WORKDAY(I106,1)</f>
        <v>46134</v>
      </c>
      <c r="I107" s="53">
        <f t="shared" si="13"/>
        <v>46136</v>
      </c>
      <c r="J107" s="54">
        <f>G107/$N$8</f>
        <v>2</v>
      </c>
      <c r="K107" s="102" t="s">
        <v>22</v>
      </c>
    </row>
    <row r="108" spans="1:11" hidden="1">
      <c r="A108" s="51" t="s">
        <v>172</v>
      </c>
      <c r="B108" s="81" t="s">
        <v>84</v>
      </c>
      <c r="C108" s="51" t="s">
        <v>168</v>
      </c>
      <c r="D108" s="51" t="s">
        <v>50</v>
      </c>
      <c r="E108" s="51" t="s">
        <v>173</v>
      </c>
      <c r="F108" s="51" t="s">
        <v>86</v>
      </c>
      <c r="G108" s="52">
        <v>3</v>
      </c>
      <c r="H108" s="53">
        <f>I107</f>
        <v>46136</v>
      </c>
      <c r="I108" s="53">
        <f t="shared" si="13"/>
        <v>46141</v>
      </c>
      <c r="J108" s="54">
        <f>G108/$N$7</f>
        <v>3</v>
      </c>
      <c r="K108" s="102" t="s">
        <v>22</v>
      </c>
    </row>
    <row r="109" spans="1:11">
      <c r="A109" s="51" t="s">
        <v>172</v>
      </c>
      <c r="B109" s="81" t="s">
        <v>84</v>
      </c>
      <c r="C109" s="51" t="s">
        <v>168</v>
      </c>
      <c r="D109" s="51" t="s">
        <v>278</v>
      </c>
      <c r="E109" s="51" t="s">
        <v>174</v>
      </c>
      <c r="F109" s="51" t="s">
        <v>279</v>
      </c>
      <c r="G109" s="52">
        <v>1</v>
      </c>
      <c r="H109" s="53">
        <f>WORKDAY(I108,1)</f>
        <v>46142</v>
      </c>
      <c r="I109" s="53">
        <f t="shared" si="13"/>
        <v>46143</v>
      </c>
      <c r="J109" s="86">
        <f>G109/$N$5</f>
        <v>1</v>
      </c>
      <c r="K109" s="102" t="s">
        <v>22</v>
      </c>
    </row>
    <row r="110" spans="1:11">
      <c r="A110" s="51" t="s">
        <v>149</v>
      </c>
      <c r="B110" s="81" t="s">
        <v>84</v>
      </c>
      <c r="C110" s="51" t="s">
        <v>175</v>
      </c>
      <c r="D110" s="51" t="s">
        <v>46</v>
      </c>
      <c r="E110" s="51" t="s">
        <v>176</v>
      </c>
      <c r="F110" s="51" t="s">
        <v>276</v>
      </c>
      <c r="G110" s="52">
        <v>2</v>
      </c>
      <c r="H110" s="53">
        <f>WORKDAY(I106,1)</f>
        <v>46134</v>
      </c>
      <c r="I110" s="53">
        <f>WORKDAY(H110,J110)</f>
        <v>46136</v>
      </c>
      <c r="J110" s="54">
        <f>G110/$N$5</f>
        <v>2</v>
      </c>
      <c r="K110" s="102" t="s">
        <v>22</v>
      </c>
    </row>
    <row r="111" spans="1:11">
      <c r="A111" s="51" t="s">
        <v>149</v>
      </c>
      <c r="B111" s="81" t="s">
        <v>84</v>
      </c>
      <c r="C111" s="51" t="s">
        <v>175</v>
      </c>
      <c r="D111" s="51" t="s">
        <v>46</v>
      </c>
      <c r="E111" s="51" t="s">
        <v>177</v>
      </c>
      <c r="F111" s="51" t="s">
        <v>276</v>
      </c>
      <c r="G111" s="52">
        <v>2</v>
      </c>
      <c r="H111" s="53">
        <f t="shared" ref="H111:H122" si="17">WORKDAY(I110,1)</f>
        <v>46139</v>
      </c>
      <c r="I111" s="53">
        <f t="shared" ref="I111:I174" si="18">WORKDAY(H111,J111)</f>
        <v>46141</v>
      </c>
      <c r="J111" s="54">
        <f t="shared" ref="J111:J123" si="19">G111/$N$5</f>
        <v>2</v>
      </c>
      <c r="K111" s="102" t="s">
        <v>22</v>
      </c>
    </row>
    <row r="112" spans="1:11" hidden="1">
      <c r="A112" s="51" t="s">
        <v>149</v>
      </c>
      <c r="B112" s="81" t="s">
        <v>84</v>
      </c>
      <c r="C112" s="51" t="s">
        <v>175</v>
      </c>
      <c r="D112" s="51" t="s">
        <v>50</v>
      </c>
      <c r="E112" s="51" t="s">
        <v>178</v>
      </c>
      <c r="F112" s="51" t="s">
        <v>62</v>
      </c>
      <c r="G112" s="52">
        <v>3</v>
      </c>
      <c r="H112" s="53">
        <f t="shared" si="17"/>
        <v>46142</v>
      </c>
      <c r="I112" s="53">
        <f t="shared" si="18"/>
        <v>46147</v>
      </c>
      <c r="J112" s="54">
        <f>G112/$N$8</f>
        <v>3</v>
      </c>
      <c r="K112" s="102" t="s">
        <v>22</v>
      </c>
    </row>
    <row r="113" spans="1:11" hidden="1">
      <c r="A113" s="51" t="s">
        <v>151</v>
      </c>
      <c r="B113" s="81" t="s">
        <v>84</v>
      </c>
      <c r="C113" s="51" t="s">
        <v>175</v>
      </c>
      <c r="D113" s="51" t="s">
        <v>50</v>
      </c>
      <c r="E113" s="51" t="s">
        <v>179</v>
      </c>
      <c r="F113" s="51" t="s">
        <v>18</v>
      </c>
      <c r="G113" s="52">
        <v>5</v>
      </c>
      <c r="H113" s="53">
        <f>I112</f>
        <v>46147</v>
      </c>
      <c r="I113" s="53">
        <f t="shared" si="18"/>
        <v>46154</v>
      </c>
      <c r="J113" s="54">
        <f t="shared" si="19"/>
        <v>5</v>
      </c>
      <c r="K113" s="102" t="s">
        <v>22</v>
      </c>
    </row>
    <row r="114" spans="1:11">
      <c r="A114" s="51" t="s">
        <v>151</v>
      </c>
      <c r="B114" s="81" t="s">
        <v>84</v>
      </c>
      <c r="C114" s="51" t="s">
        <v>175</v>
      </c>
      <c r="D114" s="51" t="s">
        <v>278</v>
      </c>
      <c r="E114" s="51" t="s">
        <v>180</v>
      </c>
      <c r="F114" s="51" t="s">
        <v>279</v>
      </c>
      <c r="G114" s="52">
        <v>1</v>
      </c>
      <c r="H114" s="53">
        <f t="shared" si="17"/>
        <v>46155</v>
      </c>
      <c r="I114" s="53">
        <f t="shared" si="18"/>
        <v>46156</v>
      </c>
      <c r="J114" s="86">
        <f>G114/$N$5</f>
        <v>1</v>
      </c>
      <c r="K114" s="102" t="s">
        <v>22</v>
      </c>
    </row>
    <row r="115" spans="1:11">
      <c r="A115" s="51" t="s">
        <v>156</v>
      </c>
      <c r="B115" s="81" t="s">
        <v>84</v>
      </c>
      <c r="C115" s="51" t="s">
        <v>181</v>
      </c>
      <c r="D115" s="51" t="s">
        <v>46</v>
      </c>
      <c r="E115" s="51" t="s">
        <v>182</v>
      </c>
      <c r="F115" s="51" t="s">
        <v>276</v>
      </c>
      <c r="G115" s="52">
        <v>1</v>
      </c>
      <c r="H115" s="53">
        <f>WORKDAY(I111,1)</f>
        <v>46142</v>
      </c>
      <c r="I115" s="53">
        <f t="shared" si="18"/>
        <v>46143</v>
      </c>
      <c r="J115" s="54">
        <f t="shared" si="19"/>
        <v>1</v>
      </c>
      <c r="K115" s="102" t="s">
        <v>22</v>
      </c>
    </row>
    <row r="116" spans="1:11">
      <c r="A116" s="51" t="s">
        <v>156</v>
      </c>
      <c r="B116" s="81" t="s">
        <v>84</v>
      </c>
      <c r="C116" s="51" t="s">
        <v>181</v>
      </c>
      <c r="D116" s="51" t="s">
        <v>46</v>
      </c>
      <c r="E116" s="51" t="s">
        <v>183</v>
      </c>
      <c r="F116" s="51" t="s">
        <v>276</v>
      </c>
      <c r="G116" s="52">
        <v>2</v>
      </c>
      <c r="H116" s="53">
        <f t="shared" si="17"/>
        <v>46146</v>
      </c>
      <c r="I116" s="53">
        <f t="shared" si="18"/>
        <v>46148</v>
      </c>
      <c r="J116" s="54">
        <f t="shared" si="19"/>
        <v>2</v>
      </c>
      <c r="K116" s="102" t="s">
        <v>22</v>
      </c>
    </row>
    <row r="117" spans="1:11" hidden="1">
      <c r="A117" s="51" t="s">
        <v>156</v>
      </c>
      <c r="B117" s="81" t="s">
        <v>84</v>
      </c>
      <c r="C117" s="51" t="s">
        <v>181</v>
      </c>
      <c r="D117" s="51" t="s">
        <v>50</v>
      </c>
      <c r="E117" s="51" t="s">
        <v>184</v>
      </c>
      <c r="F117" s="51" t="s">
        <v>62</v>
      </c>
      <c r="G117" s="52">
        <v>1.5</v>
      </c>
      <c r="H117" s="53">
        <f t="shared" si="17"/>
        <v>46149</v>
      </c>
      <c r="I117" s="53">
        <f t="shared" si="18"/>
        <v>46150</v>
      </c>
      <c r="J117" s="54">
        <f>G117/$N$8</f>
        <v>1.5</v>
      </c>
      <c r="K117" s="102" t="s">
        <v>22</v>
      </c>
    </row>
    <row r="118" spans="1:11" hidden="1">
      <c r="A118" s="51" t="s">
        <v>156</v>
      </c>
      <c r="B118" s="81" t="s">
        <v>84</v>
      </c>
      <c r="C118" s="51" t="s">
        <v>181</v>
      </c>
      <c r="D118" s="51" t="s">
        <v>50</v>
      </c>
      <c r="E118" s="51" t="s">
        <v>185</v>
      </c>
      <c r="F118" s="51" t="s">
        <v>18</v>
      </c>
      <c r="G118" s="52">
        <v>2.5</v>
      </c>
      <c r="H118" s="53">
        <f>I117</f>
        <v>46150</v>
      </c>
      <c r="I118" s="53">
        <f t="shared" si="18"/>
        <v>46154</v>
      </c>
      <c r="J118" s="54">
        <f t="shared" si="19"/>
        <v>2.5</v>
      </c>
      <c r="K118" s="102" t="s">
        <v>22</v>
      </c>
    </row>
    <row r="119" spans="1:11">
      <c r="A119" s="51" t="s">
        <v>159</v>
      </c>
      <c r="B119" s="81" t="s">
        <v>84</v>
      </c>
      <c r="C119" s="51" t="s">
        <v>181</v>
      </c>
      <c r="D119" s="51" t="s">
        <v>278</v>
      </c>
      <c r="E119" s="51" t="s">
        <v>186</v>
      </c>
      <c r="F119" s="51" t="s">
        <v>279</v>
      </c>
      <c r="G119" s="52">
        <v>1</v>
      </c>
      <c r="H119" s="53">
        <f t="shared" si="17"/>
        <v>46155</v>
      </c>
      <c r="I119" s="53">
        <f t="shared" si="18"/>
        <v>46156</v>
      </c>
      <c r="J119" s="86">
        <f>G119/$N$5</f>
        <v>1</v>
      </c>
      <c r="K119" s="102" t="s">
        <v>22</v>
      </c>
    </row>
    <row r="120" spans="1:11">
      <c r="A120" s="51" t="s">
        <v>159</v>
      </c>
      <c r="B120" s="81" t="s">
        <v>84</v>
      </c>
      <c r="C120" s="51" t="s">
        <v>187</v>
      </c>
      <c r="D120" s="51" t="s">
        <v>46</v>
      </c>
      <c r="E120" s="51" t="s">
        <v>188</v>
      </c>
      <c r="F120" s="51" t="s">
        <v>276</v>
      </c>
      <c r="G120" s="52">
        <v>1</v>
      </c>
      <c r="H120" s="53">
        <f>WORKDAY(I116,1)</f>
        <v>46149</v>
      </c>
      <c r="I120" s="53">
        <f t="shared" si="18"/>
        <v>46150</v>
      </c>
      <c r="J120" s="54">
        <f t="shared" si="19"/>
        <v>1</v>
      </c>
      <c r="K120" s="102" t="s">
        <v>22</v>
      </c>
    </row>
    <row r="121" spans="1:11">
      <c r="A121" s="51" t="s">
        <v>159</v>
      </c>
      <c r="B121" s="81" t="s">
        <v>84</v>
      </c>
      <c r="C121" s="51" t="s">
        <v>187</v>
      </c>
      <c r="D121" s="51" t="s">
        <v>46</v>
      </c>
      <c r="E121" s="51" t="s">
        <v>189</v>
      </c>
      <c r="F121" s="51" t="s">
        <v>276</v>
      </c>
      <c r="G121" s="52">
        <v>1</v>
      </c>
      <c r="H121" s="53">
        <f t="shared" si="17"/>
        <v>46153</v>
      </c>
      <c r="I121" s="53">
        <f t="shared" si="18"/>
        <v>46154</v>
      </c>
      <c r="J121" s="54">
        <f t="shared" si="19"/>
        <v>1</v>
      </c>
      <c r="K121" s="102" t="s">
        <v>22</v>
      </c>
    </row>
    <row r="122" spans="1:11" hidden="1">
      <c r="A122" s="51" t="s">
        <v>159</v>
      </c>
      <c r="B122" s="81" t="s">
        <v>84</v>
      </c>
      <c r="C122" s="51" t="s">
        <v>187</v>
      </c>
      <c r="D122" s="51" t="s">
        <v>50</v>
      </c>
      <c r="E122" s="51" t="s">
        <v>190</v>
      </c>
      <c r="F122" s="51" t="s">
        <v>62</v>
      </c>
      <c r="G122" s="52">
        <v>1.5</v>
      </c>
      <c r="H122" s="53">
        <f t="shared" si="17"/>
        <v>46155</v>
      </c>
      <c r="I122" s="53">
        <f t="shared" si="18"/>
        <v>46156</v>
      </c>
      <c r="J122" s="54">
        <f>G122/$N$8</f>
        <v>1.5</v>
      </c>
      <c r="K122" s="102" t="s">
        <v>22</v>
      </c>
    </row>
    <row r="123" spans="1:11" hidden="1">
      <c r="A123" s="51" t="s">
        <v>159</v>
      </c>
      <c r="B123" s="81" t="s">
        <v>84</v>
      </c>
      <c r="C123" s="51" t="s">
        <v>187</v>
      </c>
      <c r="D123" s="51" t="s">
        <v>50</v>
      </c>
      <c r="E123" s="51" t="s">
        <v>191</v>
      </c>
      <c r="F123" s="51" t="s">
        <v>18</v>
      </c>
      <c r="G123" s="52">
        <v>1.5</v>
      </c>
      <c r="H123" s="53">
        <f>I122</f>
        <v>46156</v>
      </c>
      <c r="I123" s="53">
        <f t="shared" si="18"/>
        <v>46157</v>
      </c>
      <c r="J123" s="54">
        <f t="shared" si="19"/>
        <v>1.5</v>
      </c>
      <c r="K123" s="102" t="s">
        <v>22</v>
      </c>
    </row>
    <row r="124" spans="1:11">
      <c r="A124" s="51" t="s">
        <v>164</v>
      </c>
      <c r="B124" s="81" t="s">
        <v>84</v>
      </c>
      <c r="C124" s="51" t="s">
        <v>187</v>
      </c>
      <c r="D124" s="51" t="s">
        <v>278</v>
      </c>
      <c r="E124" s="51" t="s">
        <v>192</v>
      </c>
      <c r="F124" s="51" t="s">
        <v>279</v>
      </c>
      <c r="G124" s="52">
        <v>1</v>
      </c>
      <c r="H124" s="53">
        <f>WORKDAY(I123,1)</f>
        <v>46160</v>
      </c>
      <c r="I124" s="53">
        <f t="shared" si="18"/>
        <v>46161</v>
      </c>
      <c r="J124" s="86">
        <f>G124/$N$5</f>
        <v>1</v>
      </c>
      <c r="K124" s="102" t="s">
        <v>22</v>
      </c>
    </row>
    <row r="125" spans="1:11">
      <c r="A125" s="51" t="s">
        <v>164</v>
      </c>
      <c r="B125" s="81" t="s">
        <v>84</v>
      </c>
      <c r="C125" s="51" t="s">
        <v>193</v>
      </c>
      <c r="D125" s="51" t="s">
        <v>46</v>
      </c>
      <c r="E125" s="51" t="s">
        <v>194</v>
      </c>
      <c r="F125" s="51" t="s">
        <v>276</v>
      </c>
      <c r="G125" s="52">
        <v>1</v>
      </c>
      <c r="H125" s="53">
        <f>WORKDAY(I121,1)</f>
        <v>46155</v>
      </c>
      <c r="I125" s="53">
        <f t="shared" si="18"/>
        <v>46156</v>
      </c>
      <c r="J125" s="54">
        <f t="shared" ref="J125:J133" si="20">G125/$N$5</f>
        <v>1</v>
      </c>
      <c r="K125" s="102" t="s">
        <v>22</v>
      </c>
    </row>
    <row r="126" spans="1:11">
      <c r="A126" s="51" t="s">
        <v>164</v>
      </c>
      <c r="B126" s="81" t="s">
        <v>84</v>
      </c>
      <c r="C126" s="51" t="s">
        <v>193</v>
      </c>
      <c r="D126" s="51" t="s">
        <v>46</v>
      </c>
      <c r="E126" s="51" t="s">
        <v>195</v>
      </c>
      <c r="F126" s="51" t="s">
        <v>276</v>
      </c>
      <c r="G126" s="52">
        <v>2</v>
      </c>
      <c r="H126" s="53">
        <f t="shared" ref="H126:H144" si="21">WORKDAY(I125,1)</f>
        <v>46157</v>
      </c>
      <c r="I126" s="53">
        <f t="shared" si="18"/>
        <v>46161</v>
      </c>
      <c r="J126" s="54">
        <f t="shared" si="20"/>
        <v>2</v>
      </c>
      <c r="K126" s="102" t="s">
        <v>22</v>
      </c>
    </row>
    <row r="127" spans="1:11" hidden="1">
      <c r="A127" s="51" t="s">
        <v>164</v>
      </c>
      <c r="B127" s="81" t="s">
        <v>84</v>
      </c>
      <c r="C127" s="51" t="s">
        <v>193</v>
      </c>
      <c r="D127" s="51" t="s">
        <v>50</v>
      </c>
      <c r="E127" s="51" t="s">
        <v>196</v>
      </c>
      <c r="F127" s="51" t="s">
        <v>62</v>
      </c>
      <c r="G127" s="52">
        <v>1</v>
      </c>
      <c r="H127" s="53">
        <f t="shared" si="21"/>
        <v>46162</v>
      </c>
      <c r="I127" s="53">
        <f t="shared" si="18"/>
        <v>46163</v>
      </c>
      <c r="J127" s="54">
        <f>G127/$N$8</f>
        <v>1</v>
      </c>
      <c r="K127" s="102" t="s">
        <v>22</v>
      </c>
    </row>
    <row r="128" spans="1:11" hidden="1">
      <c r="A128" s="51" t="s">
        <v>164</v>
      </c>
      <c r="B128" s="81" t="s">
        <v>84</v>
      </c>
      <c r="C128" s="51" t="s">
        <v>193</v>
      </c>
      <c r="D128" s="51" t="s">
        <v>50</v>
      </c>
      <c r="E128" s="51" t="s">
        <v>197</v>
      </c>
      <c r="F128" s="51" t="s">
        <v>18</v>
      </c>
      <c r="G128" s="52">
        <v>2</v>
      </c>
      <c r="H128" s="53">
        <f>WORKDAY(I126,1)</f>
        <v>46162</v>
      </c>
      <c r="I128" s="53">
        <f t="shared" si="18"/>
        <v>46164</v>
      </c>
      <c r="J128" s="54">
        <f t="shared" si="20"/>
        <v>2</v>
      </c>
      <c r="K128" s="102" t="s">
        <v>22</v>
      </c>
    </row>
    <row r="129" spans="1:11">
      <c r="A129" s="51" t="s">
        <v>166</v>
      </c>
      <c r="B129" s="81" t="s">
        <v>84</v>
      </c>
      <c r="C129" s="51" t="s">
        <v>193</v>
      </c>
      <c r="D129" s="51" t="s">
        <v>278</v>
      </c>
      <c r="E129" s="51" t="s">
        <v>198</v>
      </c>
      <c r="F129" s="51" t="s">
        <v>279</v>
      </c>
      <c r="G129" s="52">
        <v>1</v>
      </c>
      <c r="H129" s="53">
        <f t="shared" si="21"/>
        <v>46167</v>
      </c>
      <c r="I129" s="53">
        <f t="shared" si="18"/>
        <v>46168</v>
      </c>
      <c r="J129" s="86">
        <f>G129/$N$5</f>
        <v>1</v>
      </c>
      <c r="K129" s="102" t="s">
        <v>22</v>
      </c>
    </row>
    <row r="130" spans="1:11">
      <c r="A130" s="51" t="s">
        <v>166</v>
      </c>
      <c r="B130" s="81" t="s">
        <v>84</v>
      </c>
      <c r="C130" s="77" t="s">
        <v>199</v>
      </c>
      <c r="D130" s="51" t="s">
        <v>46</v>
      </c>
      <c r="E130" s="51" t="s">
        <v>200</v>
      </c>
      <c r="F130" s="51" t="s">
        <v>276</v>
      </c>
      <c r="G130" s="52">
        <v>1.5</v>
      </c>
      <c r="H130" s="53">
        <f>WORKDAY(I126,1)</f>
        <v>46162</v>
      </c>
      <c r="I130" s="53">
        <f t="shared" si="18"/>
        <v>46163</v>
      </c>
      <c r="J130" s="54">
        <f t="shared" si="20"/>
        <v>1.5</v>
      </c>
      <c r="K130" s="102" t="s">
        <v>22</v>
      </c>
    </row>
    <row r="131" spans="1:11">
      <c r="A131" s="51" t="s">
        <v>166</v>
      </c>
      <c r="B131" s="81" t="s">
        <v>84</v>
      </c>
      <c r="C131" s="77" t="s">
        <v>199</v>
      </c>
      <c r="D131" s="51" t="s">
        <v>46</v>
      </c>
      <c r="E131" s="51" t="s">
        <v>201</v>
      </c>
      <c r="F131" s="51" t="s">
        <v>276</v>
      </c>
      <c r="G131" s="52">
        <v>1.5</v>
      </c>
      <c r="H131" s="53">
        <f t="shared" si="21"/>
        <v>46164</v>
      </c>
      <c r="I131" s="53">
        <f t="shared" si="18"/>
        <v>46167</v>
      </c>
      <c r="J131" s="54">
        <f t="shared" si="20"/>
        <v>1.5</v>
      </c>
      <c r="K131" s="102" t="s">
        <v>22</v>
      </c>
    </row>
    <row r="132" spans="1:11" hidden="1">
      <c r="A132" s="51" t="s">
        <v>166</v>
      </c>
      <c r="B132" s="81" t="s">
        <v>84</v>
      </c>
      <c r="C132" s="77" t="s">
        <v>199</v>
      </c>
      <c r="D132" s="51" t="s">
        <v>50</v>
      </c>
      <c r="E132" s="51" t="s">
        <v>202</v>
      </c>
      <c r="F132" s="51" t="s">
        <v>62</v>
      </c>
      <c r="G132" s="52">
        <v>2</v>
      </c>
      <c r="H132" s="53">
        <f t="shared" si="21"/>
        <v>46168</v>
      </c>
      <c r="I132" s="53">
        <f t="shared" si="18"/>
        <v>46170</v>
      </c>
      <c r="J132" s="54">
        <f>G132/$N$8</f>
        <v>2</v>
      </c>
      <c r="K132" s="102" t="s">
        <v>22</v>
      </c>
    </row>
    <row r="133" spans="1:11" hidden="1">
      <c r="A133" s="51" t="s">
        <v>172</v>
      </c>
      <c r="B133" s="81" t="s">
        <v>84</v>
      </c>
      <c r="C133" s="77" t="s">
        <v>199</v>
      </c>
      <c r="D133" s="51" t="s">
        <v>50</v>
      </c>
      <c r="E133" s="51" t="s">
        <v>203</v>
      </c>
      <c r="F133" s="51" t="s">
        <v>18</v>
      </c>
      <c r="G133" s="52">
        <v>2</v>
      </c>
      <c r="H133" s="53">
        <f>WORKDAY(I131,1)</f>
        <v>46168</v>
      </c>
      <c r="I133" s="53">
        <f t="shared" si="18"/>
        <v>46170</v>
      </c>
      <c r="J133" s="54">
        <f t="shared" si="20"/>
        <v>2</v>
      </c>
      <c r="K133" s="102" t="s">
        <v>22</v>
      </c>
    </row>
    <row r="134" spans="1:11">
      <c r="A134" s="51" t="s">
        <v>172</v>
      </c>
      <c r="B134" s="81" t="s">
        <v>84</v>
      </c>
      <c r="C134" s="77" t="s">
        <v>199</v>
      </c>
      <c r="D134" s="51" t="s">
        <v>278</v>
      </c>
      <c r="E134" s="51" t="s">
        <v>204</v>
      </c>
      <c r="F134" s="51" t="s">
        <v>279</v>
      </c>
      <c r="G134" s="52">
        <v>1</v>
      </c>
      <c r="H134" s="53">
        <f t="shared" si="21"/>
        <v>46171</v>
      </c>
      <c r="I134" s="53">
        <f t="shared" si="18"/>
        <v>46174</v>
      </c>
      <c r="J134" s="86">
        <f>G134/$N$5</f>
        <v>1</v>
      </c>
      <c r="K134" s="102" t="s">
        <v>22</v>
      </c>
    </row>
    <row r="135" spans="1:11">
      <c r="A135" s="51" t="s">
        <v>172</v>
      </c>
      <c r="B135" s="81" t="s">
        <v>84</v>
      </c>
      <c r="C135" s="77" t="s">
        <v>205</v>
      </c>
      <c r="D135" s="51" t="s">
        <v>46</v>
      </c>
      <c r="E135" s="51" t="s">
        <v>206</v>
      </c>
      <c r="F135" s="51" t="s">
        <v>276</v>
      </c>
      <c r="G135" s="52">
        <v>1</v>
      </c>
      <c r="H135" s="53">
        <f>WORKDAY(I131,1)</f>
        <v>46168</v>
      </c>
      <c r="I135" s="53">
        <f t="shared" si="18"/>
        <v>46169</v>
      </c>
      <c r="J135" s="54">
        <f t="shared" ref="J135:J143" si="22">G135/$N$5</f>
        <v>1</v>
      </c>
      <c r="K135" s="102" t="s">
        <v>22</v>
      </c>
    </row>
    <row r="136" spans="1:11">
      <c r="A136" s="51" t="s">
        <v>172</v>
      </c>
      <c r="B136" s="81" t="s">
        <v>84</v>
      </c>
      <c r="C136" s="77" t="s">
        <v>205</v>
      </c>
      <c r="D136" s="51" t="s">
        <v>46</v>
      </c>
      <c r="E136" s="51" t="s">
        <v>207</v>
      </c>
      <c r="F136" s="51" t="s">
        <v>276</v>
      </c>
      <c r="G136" s="52">
        <v>1</v>
      </c>
      <c r="H136" s="53">
        <f t="shared" si="21"/>
        <v>46170</v>
      </c>
      <c r="I136" s="53">
        <f t="shared" si="18"/>
        <v>46171</v>
      </c>
      <c r="J136" s="54">
        <f t="shared" si="22"/>
        <v>1</v>
      </c>
      <c r="K136" s="102" t="s">
        <v>22</v>
      </c>
    </row>
    <row r="137" spans="1:11" hidden="1">
      <c r="A137" s="51" t="s">
        <v>208</v>
      </c>
      <c r="B137" s="81" t="s">
        <v>84</v>
      </c>
      <c r="C137" s="77" t="s">
        <v>205</v>
      </c>
      <c r="D137" s="51" t="s">
        <v>50</v>
      </c>
      <c r="E137" s="51" t="s">
        <v>209</v>
      </c>
      <c r="F137" s="51" t="s">
        <v>62</v>
      </c>
      <c r="G137" s="52">
        <v>1</v>
      </c>
      <c r="H137" s="53">
        <f t="shared" si="21"/>
        <v>46174</v>
      </c>
      <c r="I137" s="53">
        <f t="shared" si="18"/>
        <v>46175</v>
      </c>
      <c r="J137" s="54">
        <f>G137/$N$8</f>
        <v>1</v>
      </c>
      <c r="K137" s="102" t="s">
        <v>22</v>
      </c>
    </row>
    <row r="138" spans="1:11" hidden="1">
      <c r="A138" s="51" t="s">
        <v>208</v>
      </c>
      <c r="B138" s="81" t="s">
        <v>84</v>
      </c>
      <c r="C138" s="77" t="s">
        <v>205</v>
      </c>
      <c r="D138" s="51" t="s">
        <v>50</v>
      </c>
      <c r="E138" s="51" t="s">
        <v>210</v>
      </c>
      <c r="F138" s="51" t="s">
        <v>18</v>
      </c>
      <c r="G138" s="52">
        <v>2</v>
      </c>
      <c r="H138" s="53">
        <f>WORKDAY(I136,1)</f>
        <v>46174</v>
      </c>
      <c r="I138" s="53">
        <f t="shared" si="18"/>
        <v>46176</v>
      </c>
      <c r="J138" s="54">
        <f t="shared" si="22"/>
        <v>2</v>
      </c>
      <c r="K138" s="102" t="s">
        <v>22</v>
      </c>
    </row>
    <row r="139" spans="1:11">
      <c r="A139" s="51" t="s">
        <v>208</v>
      </c>
      <c r="B139" s="81" t="s">
        <v>84</v>
      </c>
      <c r="C139" s="77" t="s">
        <v>205</v>
      </c>
      <c r="D139" s="51" t="s">
        <v>278</v>
      </c>
      <c r="E139" s="51" t="s">
        <v>211</v>
      </c>
      <c r="F139" s="51" t="s">
        <v>279</v>
      </c>
      <c r="G139" s="52">
        <v>1</v>
      </c>
      <c r="H139" s="53">
        <f t="shared" si="21"/>
        <v>46177</v>
      </c>
      <c r="I139" s="53">
        <f t="shared" si="18"/>
        <v>46178</v>
      </c>
      <c r="J139" s="86">
        <f>G139/$N$5</f>
        <v>1</v>
      </c>
      <c r="K139" s="102" t="s">
        <v>22</v>
      </c>
    </row>
    <row r="140" spans="1:11">
      <c r="A140" s="51" t="s">
        <v>208</v>
      </c>
      <c r="B140" s="81" t="s">
        <v>84</v>
      </c>
      <c r="C140" s="77" t="s">
        <v>212</v>
      </c>
      <c r="D140" s="51" t="s">
        <v>46</v>
      </c>
      <c r="E140" s="51" t="s">
        <v>213</v>
      </c>
      <c r="F140" s="51" t="s">
        <v>276</v>
      </c>
      <c r="G140" s="52">
        <v>1</v>
      </c>
      <c r="H140" s="53">
        <f>WORKDAY(I136,1)</f>
        <v>46174</v>
      </c>
      <c r="I140" s="53">
        <f t="shared" si="18"/>
        <v>46175</v>
      </c>
      <c r="J140" s="54">
        <f t="shared" si="22"/>
        <v>1</v>
      </c>
      <c r="K140" s="102" t="s">
        <v>22</v>
      </c>
    </row>
    <row r="141" spans="1:11">
      <c r="A141" s="51" t="s">
        <v>208</v>
      </c>
      <c r="B141" s="81" t="s">
        <v>84</v>
      </c>
      <c r="C141" s="77" t="s">
        <v>212</v>
      </c>
      <c r="D141" s="51" t="s">
        <v>46</v>
      </c>
      <c r="E141" s="51" t="s">
        <v>214</v>
      </c>
      <c r="F141" s="51" t="s">
        <v>276</v>
      </c>
      <c r="G141" s="52">
        <v>1</v>
      </c>
      <c r="H141" s="53">
        <f t="shared" si="21"/>
        <v>46176</v>
      </c>
      <c r="I141" s="53">
        <f t="shared" si="18"/>
        <v>46177</v>
      </c>
      <c r="J141" s="54">
        <f t="shared" si="22"/>
        <v>1</v>
      </c>
      <c r="K141" s="102" t="s">
        <v>22</v>
      </c>
    </row>
    <row r="142" spans="1:11" hidden="1">
      <c r="A142" s="51" t="s">
        <v>215</v>
      </c>
      <c r="B142" s="81" t="s">
        <v>84</v>
      </c>
      <c r="C142" s="77" t="s">
        <v>212</v>
      </c>
      <c r="D142" s="51" t="s">
        <v>50</v>
      </c>
      <c r="E142" s="51" t="s">
        <v>216</v>
      </c>
      <c r="F142" s="51" t="s">
        <v>62</v>
      </c>
      <c r="G142" s="52">
        <v>1</v>
      </c>
      <c r="H142" s="53">
        <f t="shared" si="21"/>
        <v>46178</v>
      </c>
      <c r="I142" s="53">
        <f t="shared" si="18"/>
        <v>46181</v>
      </c>
      <c r="J142" s="54">
        <f>G142/$N$8</f>
        <v>1</v>
      </c>
      <c r="K142" s="102" t="s">
        <v>22</v>
      </c>
    </row>
    <row r="143" spans="1:11" hidden="1">
      <c r="A143" s="51" t="s">
        <v>215</v>
      </c>
      <c r="B143" s="81" t="s">
        <v>84</v>
      </c>
      <c r="C143" s="77" t="s">
        <v>212</v>
      </c>
      <c r="D143" s="51" t="s">
        <v>50</v>
      </c>
      <c r="E143" s="51" t="s">
        <v>217</v>
      </c>
      <c r="F143" s="51" t="s">
        <v>18</v>
      </c>
      <c r="G143" s="52">
        <v>2</v>
      </c>
      <c r="H143" s="53">
        <f>WORKDAY(I141,1)</f>
        <v>46178</v>
      </c>
      <c r="I143" s="53">
        <f t="shared" si="18"/>
        <v>46182</v>
      </c>
      <c r="J143" s="54">
        <f t="shared" si="22"/>
        <v>2</v>
      </c>
      <c r="K143" s="102" t="s">
        <v>22</v>
      </c>
    </row>
    <row r="144" spans="1:11">
      <c r="A144" s="51" t="s">
        <v>215</v>
      </c>
      <c r="B144" s="81" t="s">
        <v>84</v>
      </c>
      <c r="C144" s="77" t="s">
        <v>212</v>
      </c>
      <c r="D144" s="51" t="s">
        <v>278</v>
      </c>
      <c r="E144" s="51" t="s">
        <v>218</v>
      </c>
      <c r="F144" s="51" t="s">
        <v>279</v>
      </c>
      <c r="G144" s="52">
        <v>1</v>
      </c>
      <c r="H144" s="53">
        <f t="shared" si="21"/>
        <v>46183</v>
      </c>
      <c r="I144" s="53">
        <f t="shared" si="18"/>
        <v>46184</v>
      </c>
      <c r="J144" s="86">
        <f>G144/$N$5</f>
        <v>1</v>
      </c>
      <c r="K144" s="102" t="s">
        <v>22</v>
      </c>
    </row>
    <row r="145" spans="1:11">
      <c r="A145" s="51" t="s">
        <v>100</v>
      </c>
      <c r="B145" s="81" t="s">
        <v>84</v>
      </c>
      <c r="C145" s="77" t="s">
        <v>219</v>
      </c>
      <c r="D145" s="51" t="s">
        <v>46</v>
      </c>
      <c r="E145" s="51" t="s">
        <v>220</v>
      </c>
      <c r="F145" s="51" t="s">
        <v>276</v>
      </c>
      <c r="G145" s="52">
        <v>2</v>
      </c>
      <c r="H145" s="53">
        <f>WORKDAY(I141,1)</f>
        <v>46178</v>
      </c>
      <c r="I145" s="53">
        <f t="shared" si="18"/>
        <v>46182</v>
      </c>
      <c r="J145" s="54">
        <f>G145/$N$7</f>
        <v>2</v>
      </c>
      <c r="K145" s="102" t="s">
        <v>22</v>
      </c>
    </row>
    <row r="146" spans="1:11">
      <c r="A146" s="51" t="s">
        <v>100</v>
      </c>
      <c r="B146" s="81" t="s">
        <v>84</v>
      </c>
      <c r="C146" s="77" t="s">
        <v>219</v>
      </c>
      <c r="D146" s="51" t="s">
        <v>46</v>
      </c>
      <c r="E146" s="51" t="s">
        <v>221</v>
      </c>
      <c r="F146" s="51" t="s">
        <v>276</v>
      </c>
      <c r="G146" s="52">
        <v>2</v>
      </c>
      <c r="H146" s="53">
        <f t="shared" ref="H146:H154" si="23">WORKDAY(I145,1)</f>
        <v>46183</v>
      </c>
      <c r="I146" s="53">
        <f t="shared" si="18"/>
        <v>46185</v>
      </c>
      <c r="J146" s="54">
        <f>G146/$N$7</f>
        <v>2</v>
      </c>
      <c r="K146" s="102" t="s">
        <v>22</v>
      </c>
    </row>
    <row r="147" spans="1:11" hidden="1">
      <c r="A147" s="51" t="s">
        <v>107</v>
      </c>
      <c r="B147" s="81" t="s">
        <v>84</v>
      </c>
      <c r="C147" s="77" t="s">
        <v>219</v>
      </c>
      <c r="D147" s="51" t="s">
        <v>50</v>
      </c>
      <c r="E147" s="51" t="s">
        <v>222</v>
      </c>
      <c r="F147" s="51" t="s">
        <v>62</v>
      </c>
      <c r="G147" s="52">
        <v>3.5</v>
      </c>
      <c r="H147" s="53">
        <f t="shared" si="23"/>
        <v>46188</v>
      </c>
      <c r="I147" s="53">
        <f t="shared" si="18"/>
        <v>46191</v>
      </c>
      <c r="J147" s="54">
        <f>G147/$N$8</f>
        <v>3.5</v>
      </c>
      <c r="K147" s="102" t="s">
        <v>22</v>
      </c>
    </row>
    <row r="148" spans="1:11" hidden="1">
      <c r="A148" s="51" t="s">
        <v>107</v>
      </c>
      <c r="B148" s="81" t="s">
        <v>84</v>
      </c>
      <c r="C148" s="77" t="s">
        <v>219</v>
      </c>
      <c r="D148" s="51" t="s">
        <v>50</v>
      </c>
      <c r="E148" s="51" t="s">
        <v>223</v>
      </c>
      <c r="F148" s="51" t="s">
        <v>86</v>
      </c>
      <c r="G148" s="52">
        <v>4</v>
      </c>
      <c r="H148" s="53">
        <f>WORKDAY(I146,1)</f>
        <v>46188</v>
      </c>
      <c r="I148" s="53">
        <f t="shared" si="18"/>
        <v>46192</v>
      </c>
      <c r="J148" s="54">
        <f>G148/$N$7</f>
        <v>4</v>
      </c>
      <c r="K148" s="102" t="s">
        <v>22</v>
      </c>
    </row>
    <row r="149" spans="1:11">
      <c r="A149" s="51" t="s">
        <v>107</v>
      </c>
      <c r="B149" s="81" t="s">
        <v>84</v>
      </c>
      <c r="C149" s="77" t="s">
        <v>219</v>
      </c>
      <c r="D149" s="51" t="s">
        <v>278</v>
      </c>
      <c r="E149" s="51" t="s">
        <v>224</v>
      </c>
      <c r="F149" s="51" t="s">
        <v>279</v>
      </c>
      <c r="G149" s="52">
        <v>1.5</v>
      </c>
      <c r="H149" s="53">
        <f t="shared" si="23"/>
        <v>46195</v>
      </c>
      <c r="I149" s="53">
        <f t="shared" si="18"/>
        <v>46196</v>
      </c>
      <c r="J149" s="86">
        <f>G149/$N$5</f>
        <v>1.5</v>
      </c>
      <c r="K149" s="102" t="s">
        <v>22</v>
      </c>
    </row>
    <row r="150" spans="1:11">
      <c r="A150" s="51" t="s">
        <v>113</v>
      </c>
      <c r="B150" s="81" t="s">
        <v>84</v>
      </c>
      <c r="C150" s="77" t="s">
        <v>225</v>
      </c>
      <c r="D150" s="51" t="s">
        <v>46</v>
      </c>
      <c r="E150" s="51" t="s">
        <v>226</v>
      </c>
      <c r="F150" s="51" t="s">
        <v>276</v>
      </c>
      <c r="G150" s="52">
        <v>2</v>
      </c>
      <c r="H150" s="53">
        <f>WORKDAY(I146,1)</f>
        <v>46188</v>
      </c>
      <c r="I150" s="53">
        <f t="shared" si="18"/>
        <v>46190</v>
      </c>
      <c r="J150" s="54">
        <f>G150/$N$7</f>
        <v>2</v>
      </c>
      <c r="K150" s="102" t="s">
        <v>22</v>
      </c>
    </row>
    <row r="151" spans="1:11">
      <c r="A151" s="51" t="s">
        <v>113</v>
      </c>
      <c r="B151" s="81" t="s">
        <v>84</v>
      </c>
      <c r="C151" s="77" t="s">
        <v>225</v>
      </c>
      <c r="D151" s="51" t="s">
        <v>46</v>
      </c>
      <c r="E151" s="51" t="s">
        <v>227</v>
      </c>
      <c r="F151" s="51" t="s">
        <v>276</v>
      </c>
      <c r="G151" s="52">
        <v>2</v>
      </c>
      <c r="H151" s="53">
        <f t="shared" si="23"/>
        <v>46191</v>
      </c>
      <c r="I151" s="53">
        <f t="shared" si="18"/>
        <v>46195</v>
      </c>
      <c r="J151" s="54">
        <f>G151/$N$7</f>
        <v>2</v>
      </c>
      <c r="K151" s="102" t="s">
        <v>22</v>
      </c>
    </row>
    <row r="152" spans="1:11" hidden="1">
      <c r="A152" s="51" t="s">
        <v>113</v>
      </c>
      <c r="B152" s="81" t="s">
        <v>84</v>
      </c>
      <c r="C152" s="77" t="s">
        <v>225</v>
      </c>
      <c r="D152" s="51" t="s">
        <v>50</v>
      </c>
      <c r="E152" s="51" t="s">
        <v>228</v>
      </c>
      <c r="F152" s="51" t="s">
        <v>62</v>
      </c>
      <c r="G152" s="52">
        <v>2.5</v>
      </c>
      <c r="H152" s="53">
        <f t="shared" si="23"/>
        <v>46196</v>
      </c>
      <c r="I152" s="53">
        <f t="shared" si="18"/>
        <v>46198</v>
      </c>
      <c r="J152" s="54">
        <f>G152/$N$8</f>
        <v>2.5</v>
      </c>
      <c r="K152" s="102" t="s">
        <v>22</v>
      </c>
    </row>
    <row r="153" spans="1:11" hidden="1">
      <c r="A153" s="51" t="s">
        <v>115</v>
      </c>
      <c r="B153" s="81" t="s">
        <v>84</v>
      </c>
      <c r="C153" s="77" t="s">
        <v>225</v>
      </c>
      <c r="D153" s="51" t="s">
        <v>50</v>
      </c>
      <c r="E153" s="51" t="s">
        <v>229</v>
      </c>
      <c r="F153" s="51" t="s">
        <v>18</v>
      </c>
      <c r="G153" s="52">
        <v>4.5</v>
      </c>
      <c r="H153" s="53">
        <f>WORKDAY(I151,1)</f>
        <v>46196</v>
      </c>
      <c r="I153" s="53">
        <f t="shared" si="18"/>
        <v>46202</v>
      </c>
      <c r="J153" s="54">
        <f>G153/$N$5</f>
        <v>4.5</v>
      </c>
      <c r="K153" s="102" t="s">
        <v>22</v>
      </c>
    </row>
    <row r="154" spans="1:11">
      <c r="A154" s="51" t="s">
        <v>115</v>
      </c>
      <c r="B154" s="81" t="s">
        <v>84</v>
      </c>
      <c r="C154" s="77" t="s">
        <v>225</v>
      </c>
      <c r="D154" s="51" t="s">
        <v>278</v>
      </c>
      <c r="E154" s="51" t="s">
        <v>230</v>
      </c>
      <c r="F154" s="51" t="s">
        <v>279</v>
      </c>
      <c r="G154" s="52">
        <v>2</v>
      </c>
      <c r="H154" s="53">
        <f t="shared" si="23"/>
        <v>46203</v>
      </c>
      <c r="I154" s="53">
        <f t="shared" si="18"/>
        <v>46205</v>
      </c>
      <c r="J154" s="86">
        <f>G154/$N$5</f>
        <v>2</v>
      </c>
      <c r="K154" s="102" t="s">
        <v>22</v>
      </c>
    </row>
    <row r="155" spans="1:11">
      <c r="A155" s="51" t="s">
        <v>115</v>
      </c>
      <c r="B155" s="81" t="s">
        <v>84</v>
      </c>
      <c r="C155" s="77" t="s">
        <v>231</v>
      </c>
      <c r="D155" s="51" t="s">
        <v>46</v>
      </c>
      <c r="E155" s="51" t="s">
        <v>232</v>
      </c>
      <c r="F155" s="51" t="s">
        <v>276</v>
      </c>
      <c r="G155" s="52">
        <v>1</v>
      </c>
      <c r="H155" s="53">
        <f>WORKDAY(I151,1)</f>
        <v>46196</v>
      </c>
      <c r="I155" s="53">
        <f t="shared" si="18"/>
        <v>46197</v>
      </c>
      <c r="J155" s="54">
        <f>G155/$N$7</f>
        <v>1</v>
      </c>
      <c r="K155" s="102" t="s">
        <v>22</v>
      </c>
    </row>
    <row r="156" spans="1:11">
      <c r="A156" s="51" t="s">
        <v>121</v>
      </c>
      <c r="B156" s="81" t="s">
        <v>84</v>
      </c>
      <c r="C156" s="77" t="s">
        <v>231</v>
      </c>
      <c r="D156" s="51" t="s">
        <v>46</v>
      </c>
      <c r="E156" s="51" t="s">
        <v>233</v>
      </c>
      <c r="F156" s="51" t="s">
        <v>276</v>
      </c>
      <c r="G156" s="52">
        <v>1</v>
      </c>
      <c r="H156" s="53">
        <f t="shared" ref="H156:H178" si="24">WORKDAY(I155,1)</f>
        <v>46198</v>
      </c>
      <c r="I156" s="53">
        <f t="shared" si="18"/>
        <v>46199</v>
      </c>
      <c r="J156" s="54">
        <f>G156/$N$7</f>
        <v>1</v>
      </c>
      <c r="K156" s="102" t="s">
        <v>22</v>
      </c>
    </row>
    <row r="157" spans="1:11" hidden="1">
      <c r="A157" s="51" t="s">
        <v>121</v>
      </c>
      <c r="B157" s="81" t="s">
        <v>84</v>
      </c>
      <c r="C157" s="77" t="s">
        <v>231</v>
      </c>
      <c r="D157" s="51" t="s">
        <v>50</v>
      </c>
      <c r="E157" s="51" t="s">
        <v>234</v>
      </c>
      <c r="F157" s="51" t="s">
        <v>62</v>
      </c>
      <c r="G157" s="52">
        <v>1</v>
      </c>
      <c r="H157" s="53">
        <f t="shared" si="24"/>
        <v>46202</v>
      </c>
      <c r="I157" s="53">
        <f t="shared" si="18"/>
        <v>46203</v>
      </c>
      <c r="J157" s="54">
        <f>G157/$N$8</f>
        <v>1</v>
      </c>
      <c r="K157" s="102" t="s">
        <v>22</v>
      </c>
    </row>
    <row r="158" spans="1:11" hidden="1">
      <c r="A158" s="51" t="s">
        <v>121</v>
      </c>
      <c r="B158" s="81" t="s">
        <v>84</v>
      </c>
      <c r="C158" s="77" t="s">
        <v>231</v>
      </c>
      <c r="D158" s="51" t="s">
        <v>50</v>
      </c>
      <c r="E158" s="51" t="s">
        <v>235</v>
      </c>
      <c r="F158" s="51" t="s">
        <v>86</v>
      </c>
      <c r="G158" s="52">
        <v>2</v>
      </c>
      <c r="H158" s="53">
        <f>WORKDAY(I156,1)</f>
        <v>46202</v>
      </c>
      <c r="I158" s="53">
        <f t="shared" si="18"/>
        <v>46204</v>
      </c>
      <c r="J158" s="54">
        <f>G158/$N$7</f>
        <v>2</v>
      </c>
      <c r="K158" s="102" t="s">
        <v>22</v>
      </c>
    </row>
    <row r="159" spans="1:11">
      <c r="A159" s="51" t="s">
        <v>121</v>
      </c>
      <c r="B159" s="81" t="s">
        <v>84</v>
      </c>
      <c r="C159" s="77" t="s">
        <v>231</v>
      </c>
      <c r="D159" s="51" t="s">
        <v>278</v>
      </c>
      <c r="E159" s="51" t="s">
        <v>236</v>
      </c>
      <c r="F159" s="51" t="s">
        <v>279</v>
      </c>
      <c r="G159" s="52">
        <v>1</v>
      </c>
      <c r="H159" s="53">
        <f t="shared" si="24"/>
        <v>46205</v>
      </c>
      <c r="I159" s="53">
        <f t="shared" si="18"/>
        <v>46206</v>
      </c>
      <c r="J159" s="86">
        <f>G159/$N$5</f>
        <v>1</v>
      </c>
      <c r="K159" s="102" t="s">
        <v>22</v>
      </c>
    </row>
    <row r="160" spans="1:11">
      <c r="A160" s="51" t="s">
        <v>121</v>
      </c>
      <c r="B160" s="81" t="s">
        <v>84</v>
      </c>
      <c r="C160" s="77" t="s">
        <v>237</v>
      </c>
      <c r="D160" s="51" t="s">
        <v>46</v>
      </c>
      <c r="E160" s="51" t="s">
        <v>238</v>
      </c>
      <c r="F160" s="51" t="s">
        <v>276</v>
      </c>
      <c r="G160" s="52">
        <v>1</v>
      </c>
      <c r="H160" s="53">
        <f>WORKDAY(I156,1)</f>
        <v>46202</v>
      </c>
      <c r="I160" s="53">
        <f t="shared" si="18"/>
        <v>46203</v>
      </c>
      <c r="J160" s="54">
        <f>G160/$N$7</f>
        <v>1</v>
      </c>
      <c r="K160" s="102" t="s">
        <v>22</v>
      </c>
    </row>
    <row r="161" spans="1:11">
      <c r="A161" s="51" t="s">
        <v>125</v>
      </c>
      <c r="B161" s="81" t="s">
        <v>84</v>
      </c>
      <c r="C161" s="77" t="s">
        <v>237</v>
      </c>
      <c r="D161" s="51" t="s">
        <v>46</v>
      </c>
      <c r="E161" s="51" t="s">
        <v>239</v>
      </c>
      <c r="F161" s="51" t="s">
        <v>276</v>
      </c>
      <c r="G161" s="52">
        <v>1</v>
      </c>
      <c r="H161" s="53">
        <f t="shared" si="24"/>
        <v>46204</v>
      </c>
      <c r="I161" s="53">
        <f t="shared" si="18"/>
        <v>46205</v>
      </c>
      <c r="J161" s="54">
        <f>G161/$N$7</f>
        <v>1</v>
      </c>
      <c r="K161" s="102" t="s">
        <v>22</v>
      </c>
    </row>
    <row r="162" spans="1:11" hidden="1">
      <c r="A162" s="51" t="s">
        <v>125</v>
      </c>
      <c r="B162" s="81" t="s">
        <v>84</v>
      </c>
      <c r="C162" s="77" t="s">
        <v>237</v>
      </c>
      <c r="D162" s="51" t="s">
        <v>50</v>
      </c>
      <c r="E162" s="51" t="s">
        <v>240</v>
      </c>
      <c r="F162" s="51" t="s">
        <v>62</v>
      </c>
      <c r="G162" s="52">
        <v>3</v>
      </c>
      <c r="H162" s="53">
        <f t="shared" si="24"/>
        <v>46206</v>
      </c>
      <c r="I162" s="53">
        <f t="shared" si="18"/>
        <v>46211</v>
      </c>
      <c r="J162" s="54">
        <f>G162/$N$8</f>
        <v>3</v>
      </c>
      <c r="K162" s="102" t="s">
        <v>22</v>
      </c>
    </row>
    <row r="163" spans="1:11" hidden="1">
      <c r="A163" s="51" t="s">
        <v>125</v>
      </c>
      <c r="B163" s="81" t="s">
        <v>84</v>
      </c>
      <c r="C163" s="77" t="s">
        <v>237</v>
      </c>
      <c r="D163" s="51" t="s">
        <v>50</v>
      </c>
      <c r="E163" s="51" t="s">
        <v>241</v>
      </c>
      <c r="F163" s="51" t="s">
        <v>86</v>
      </c>
      <c r="G163" s="52">
        <v>4</v>
      </c>
      <c r="H163" s="53">
        <f>WORKDAY(I161,1)</f>
        <v>46206</v>
      </c>
      <c r="I163" s="53">
        <f t="shared" si="18"/>
        <v>46212</v>
      </c>
      <c r="J163" s="54">
        <f>G163/$N$7</f>
        <v>4</v>
      </c>
      <c r="K163" s="102" t="s">
        <v>22</v>
      </c>
    </row>
    <row r="164" spans="1:11">
      <c r="A164" s="51" t="s">
        <v>149</v>
      </c>
      <c r="B164" s="81" t="s">
        <v>84</v>
      </c>
      <c r="C164" s="77" t="s">
        <v>237</v>
      </c>
      <c r="D164" s="51" t="s">
        <v>278</v>
      </c>
      <c r="E164" s="51" t="s">
        <v>242</v>
      </c>
      <c r="F164" s="51" t="s">
        <v>279</v>
      </c>
      <c r="G164" s="52">
        <v>2</v>
      </c>
      <c r="H164" s="53">
        <f t="shared" si="24"/>
        <v>46213</v>
      </c>
      <c r="I164" s="53">
        <f t="shared" si="18"/>
        <v>46217</v>
      </c>
      <c r="J164" s="86">
        <f>G164/$N$5</f>
        <v>2</v>
      </c>
      <c r="K164" s="102" t="s">
        <v>22</v>
      </c>
    </row>
    <row r="165" spans="1:11">
      <c r="A165" s="51" t="s">
        <v>149</v>
      </c>
      <c r="B165" s="81" t="s">
        <v>84</v>
      </c>
      <c r="C165" s="77" t="s">
        <v>243</v>
      </c>
      <c r="D165" s="51" t="s">
        <v>46</v>
      </c>
      <c r="E165" s="51" t="s">
        <v>244</v>
      </c>
      <c r="F165" s="51" t="s">
        <v>276</v>
      </c>
      <c r="G165" s="52">
        <v>1</v>
      </c>
      <c r="H165" s="53">
        <f>WORKDAY(I161,1)</f>
        <v>46206</v>
      </c>
      <c r="I165" s="53">
        <f t="shared" si="18"/>
        <v>46209</v>
      </c>
      <c r="J165" s="54">
        <f>G165/$N$7</f>
        <v>1</v>
      </c>
      <c r="K165" s="102" t="s">
        <v>22</v>
      </c>
    </row>
    <row r="166" spans="1:11">
      <c r="A166" s="51" t="s">
        <v>149</v>
      </c>
      <c r="B166" s="81" t="s">
        <v>84</v>
      </c>
      <c r="C166" s="77" t="s">
        <v>243</v>
      </c>
      <c r="D166" s="51" t="s">
        <v>46</v>
      </c>
      <c r="E166" s="51" t="s">
        <v>245</v>
      </c>
      <c r="F166" s="51" t="s">
        <v>276</v>
      </c>
      <c r="G166" s="52">
        <v>1</v>
      </c>
      <c r="H166" s="53">
        <f t="shared" si="24"/>
        <v>46210</v>
      </c>
      <c r="I166" s="53">
        <f t="shared" si="18"/>
        <v>46211</v>
      </c>
      <c r="J166" s="54">
        <f>G166/$N$7</f>
        <v>1</v>
      </c>
      <c r="K166" s="102" t="s">
        <v>22</v>
      </c>
    </row>
    <row r="167" spans="1:11" hidden="1">
      <c r="A167" s="51" t="s">
        <v>149</v>
      </c>
      <c r="B167" s="81" t="s">
        <v>84</v>
      </c>
      <c r="C167" s="77" t="s">
        <v>243</v>
      </c>
      <c r="D167" s="51" t="s">
        <v>50</v>
      </c>
      <c r="E167" s="51" t="s">
        <v>246</v>
      </c>
      <c r="F167" s="51" t="s">
        <v>62</v>
      </c>
      <c r="G167" s="52">
        <v>2</v>
      </c>
      <c r="H167" s="53">
        <f t="shared" si="24"/>
        <v>46212</v>
      </c>
      <c r="I167" s="53">
        <f t="shared" si="18"/>
        <v>46216</v>
      </c>
      <c r="J167" s="54">
        <f>G167/$N$8</f>
        <v>2</v>
      </c>
      <c r="K167" s="102" t="s">
        <v>22</v>
      </c>
    </row>
    <row r="168" spans="1:11" hidden="1">
      <c r="A168" s="51" t="s">
        <v>151</v>
      </c>
      <c r="B168" s="81" t="s">
        <v>84</v>
      </c>
      <c r="C168" s="77" t="s">
        <v>243</v>
      </c>
      <c r="D168" s="51" t="s">
        <v>50</v>
      </c>
      <c r="E168" s="51" t="s">
        <v>247</v>
      </c>
      <c r="F168" s="51" t="s">
        <v>18</v>
      </c>
      <c r="G168" s="52">
        <v>2</v>
      </c>
      <c r="H168" s="53">
        <f>WORKDAY(I166,1)</f>
        <v>46212</v>
      </c>
      <c r="I168" s="53">
        <f t="shared" si="18"/>
        <v>46216</v>
      </c>
      <c r="J168" s="54">
        <f>G168/$N$5</f>
        <v>2</v>
      </c>
      <c r="K168" s="102" t="s">
        <v>22</v>
      </c>
    </row>
    <row r="169" spans="1:11">
      <c r="A169" s="51" t="s">
        <v>151</v>
      </c>
      <c r="B169" s="81" t="s">
        <v>84</v>
      </c>
      <c r="C169" s="77" t="s">
        <v>243</v>
      </c>
      <c r="D169" s="51" t="s">
        <v>278</v>
      </c>
      <c r="E169" s="51" t="s">
        <v>248</v>
      </c>
      <c r="F169" s="51" t="s">
        <v>279</v>
      </c>
      <c r="G169" s="52">
        <v>1</v>
      </c>
      <c r="H169" s="53">
        <f t="shared" si="24"/>
        <v>46217</v>
      </c>
      <c r="I169" s="53">
        <f t="shared" si="18"/>
        <v>46218</v>
      </c>
      <c r="J169" s="86">
        <f>G169/$N$5</f>
        <v>1</v>
      </c>
      <c r="K169" s="102" t="s">
        <v>22</v>
      </c>
    </row>
    <row r="170" spans="1:11">
      <c r="A170" s="51" t="s">
        <v>151</v>
      </c>
      <c r="B170" s="81" t="s">
        <v>84</v>
      </c>
      <c r="C170" s="77" t="s">
        <v>249</v>
      </c>
      <c r="D170" s="51" t="s">
        <v>46</v>
      </c>
      <c r="E170" s="51" t="s">
        <v>250</v>
      </c>
      <c r="F170" s="51" t="s">
        <v>276</v>
      </c>
      <c r="G170" s="52">
        <v>1</v>
      </c>
      <c r="H170" s="53">
        <f>WORKDAY(I166,1)</f>
        <v>46212</v>
      </c>
      <c r="I170" s="53">
        <f t="shared" si="18"/>
        <v>46213</v>
      </c>
      <c r="J170" s="54">
        <f>G170/$N$7</f>
        <v>1</v>
      </c>
      <c r="K170" s="102" t="s">
        <v>22</v>
      </c>
    </row>
    <row r="171" spans="1:11">
      <c r="A171" s="51" t="s">
        <v>151</v>
      </c>
      <c r="B171" s="81" t="s">
        <v>84</v>
      </c>
      <c r="C171" s="77" t="s">
        <v>249</v>
      </c>
      <c r="D171" s="51" t="s">
        <v>46</v>
      </c>
      <c r="E171" s="51" t="s">
        <v>251</v>
      </c>
      <c r="F171" s="51" t="s">
        <v>276</v>
      </c>
      <c r="G171" s="52">
        <v>1</v>
      </c>
      <c r="H171" s="53">
        <f t="shared" si="24"/>
        <v>46216</v>
      </c>
      <c r="I171" s="53">
        <f t="shared" si="18"/>
        <v>46217</v>
      </c>
      <c r="J171" s="54">
        <f>G171/$N$7</f>
        <v>1</v>
      </c>
      <c r="K171" s="102" t="s">
        <v>22</v>
      </c>
    </row>
    <row r="172" spans="1:11" hidden="1">
      <c r="A172" s="51" t="s">
        <v>156</v>
      </c>
      <c r="B172" s="81" t="s">
        <v>84</v>
      </c>
      <c r="C172" s="77" t="s">
        <v>249</v>
      </c>
      <c r="D172" s="51" t="s">
        <v>50</v>
      </c>
      <c r="E172" s="51" t="s">
        <v>252</v>
      </c>
      <c r="F172" s="51" t="s">
        <v>62</v>
      </c>
      <c r="G172" s="52">
        <v>1</v>
      </c>
      <c r="H172" s="53">
        <f t="shared" si="24"/>
        <v>46218</v>
      </c>
      <c r="I172" s="53">
        <f t="shared" si="18"/>
        <v>46219</v>
      </c>
      <c r="J172" s="54">
        <f>G172/$N$8</f>
        <v>1</v>
      </c>
      <c r="K172" s="102" t="s">
        <v>22</v>
      </c>
    </row>
    <row r="173" spans="1:11" hidden="1">
      <c r="A173" s="51" t="s">
        <v>156</v>
      </c>
      <c r="B173" s="81" t="s">
        <v>84</v>
      </c>
      <c r="C173" s="77" t="s">
        <v>249</v>
      </c>
      <c r="D173" s="51" t="s">
        <v>50</v>
      </c>
      <c r="E173" s="51" t="s">
        <v>253</v>
      </c>
      <c r="F173" s="51" t="s">
        <v>86</v>
      </c>
      <c r="G173" s="52">
        <v>4</v>
      </c>
      <c r="H173" s="53">
        <f>WORKDAY(I171,1)</f>
        <v>46218</v>
      </c>
      <c r="I173" s="53">
        <f t="shared" si="18"/>
        <v>46224</v>
      </c>
      <c r="J173" s="54">
        <f>G173/$N$7</f>
        <v>4</v>
      </c>
      <c r="K173" s="102" t="s">
        <v>22</v>
      </c>
    </row>
    <row r="174" spans="1:11">
      <c r="A174" s="51" t="s">
        <v>156</v>
      </c>
      <c r="B174" s="81" t="s">
        <v>84</v>
      </c>
      <c r="C174" s="77" t="s">
        <v>249</v>
      </c>
      <c r="D174" s="51" t="s">
        <v>278</v>
      </c>
      <c r="E174" s="51" t="s">
        <v>254</v>
      </c>
      <c r="F174" s="51" t="s">
        <v>279</v>
      </c>
      <c r="G174" s="52">
        <v>1</v>
      </c>
      <c r="H174" s="53">
        <f t="shared" si="24"/>
        <v>46225</v>
      </c>
      <c r="I174" s="53">
        <f t="shared" si="18"/>
        <v>46226</v>
      </c>
      <c r="J174" s="86">
        <f>G174/$N$5</f>
        <v>1</v>
      </c>
      <c r="K174" s="102" t="s">
        <v>22</v>
      </c>
    </row>
    <row r="175" spans="1:11" ht="13.5">
      <c r="A175" s="51" t="s">
        <v>159</v>
      </c>
      <c r="B175" s="81" t="s">
        <v>84</v>
      </c>
      <c r="C175" s="77" t="s">
        <v>255</v>
      </c>
      <c r="D175" s="51" t="s">
        <v>46</v>
      </c>
      <c r="E175" s="77" t="s">
        <v>256</v>
      </c>
      <c r="F175" s="51" t="s">
        <v>276</v>
      </c>
      <c r="G175" s="52">
        <v>1</v>
      </c>
      <c r="H175" s="53">
        <f>WORKDAY(I171,1)</f>
        <v>46218</v>
      </c>
      <c r="I175" s="53">
        <f t="shared" ref="I175:I178" si="25">WORKDAY(H175,J175)</f>
        <v>46219</v>
      </c>
      <c r="J175" s="54">
        <f>G175/$N$7</f>
        <v>1</v>
      </c>
      <c r="K175" s="102" t="s">
        <v>22</v>
      </c>
    </row>
    <row r="176" spans="1:11" ht="13.5">
      <c r="A176" s="51" t="s">
        <v>159</v>
      </c>
      <c r="B176" s="81" t="s">
        <v>84</v>
      </c>
      <c r="C176" s="77" t="s">
        <v>255</v>
      </c>
      <c r="D176" s="51" t="s">
        <v>46</v>
      </c>
      <c r="E176" s="77" t="s">
        <v>257</v>
      </c>
      <c r="F176" s="51" t="s">
        <v>276</v>
      </c>
      <c r="G176" s="52">
        <v>1</v>
      </c>
      <c r="H176" s="53">
        <f t="shared" si="24"/>
        <v>46220</v>
      </c>
      <c r="I176" s="53">
        <f t="shared" si="25"/>
        <v>46223</v>
      </c>
      <c r="J176" s="54">
        <f>G176/$N$7</f>
        <v>1</v>
      </c>
      <c r="K176" s="102" t="s">
        <v>22</v>
      </c>
    </row>
    <row r="177" spans="1:11" ht="13.5" hidden="1">
      <c r="A177" s="51" t="s">
        <v>159</v>
      </c>
      <c r="B177" s="81" t="s">
        <v>84</v>
      </c>
      <c r="C177" s="77" t="s">
        <v>255</v>
      </c>
      <c r="D177" s="51" t="s">
        <v>50</v>
      </c>
      <c r="E177" s="77" t="s">
        <v>258</v>
      </c>
      <c r="F177" s="51" t="s">
        <v>18</v>
      </c>
      <c r="G177" s="52">
        <v>3</v>
      </c>
      <c r="H177" s="53">
        <f>WORKDAY(I176,1)</f>
        <v>46224</v>
      </c>
      <c r="I177" s="53">
        <f t="shared" si="25"/>
        <v>46227</v>
      </c>
      <c r="J177" s="54">
        <f t="shared" ref="J177:J183" si="26">G177/$N$5</f>
        <v>3</v>
      </c>
      <c r="K177" s="102" t="s">
        <v>22</v>
      </c>
    </row>
    <row r="178" spans="1:11" ht="13.5">
      <c r="A178" s="51" t="s">
        <v>159</v>
      </c>
      <c r="B178" s="81" t="s">
        <v>84</v>
      </c>
      <c r="C178" s="77" t="s">
        <v>255</v>
      </c>
      <c r="D178" s="51" t="s">
        <v>278</v>
      </c>
      <c r="E178" s="77" t="s">
        <v>259</v>
      </c>
      <c r="F178" s="51" t="s">
        <v>279</v>
      </c>
      <c r="G178" s="52">
        <v>1</v>
      </c>
      <c r="H178" s="53">
        <f t="shared" si="24"/>
        <v>46230</v>
      </c>
      <c r="I178" s="53">
        <f t="shared" si="25"/>
        <v>46231</v>
      </c>
      <c r="J178" s="86">
        <f t="shared" si="26"/>
        <v>1</v>
      </c>
      <c r="K178" s="102" t="s">
        <v>22</v>
      </c>
    </row>
    <row r="179" spans="1:11">
      <c r="A179" s="51" t="s">
        <v>215</v>
      </c>
      <c r="B179" s="81" t="s">
        <v>84</v>
      </c>
      <c r="C179" s="77" t="s">
        <v>260</v>
      </c>
      <c r="D179" s="51" t="s">
        <v>46</v>
      </c>
      <c r="E179" s="77" t="s">
        <v>261</v>
      </c>
      <c r="F179" s="51" t="s">
        <v>276</v>
      </c>
      <c r="G179" s="52">
        <v>1</v>
      </c>
      <c r="H179" s="53">
        <f>WORKDAY(I176,1)</f>
        <v>46224</v>
      </c>
      <c r="I179" s="53">
        <f>WORKDAY(H179,J179)</f>
        <v>46225</v>
      </c>
      <c r="J179" s="54">
        <f t="shared" si="26"/>
        <v>1</v>
      </c>
      <c r="K179" s="102" t="s">
        <v>22</v>
      </c>
    </row>
    <row r="180" spans="1:11">
      <c r="A180" s="51" t="s">
        <v>262</v>
      </c>
      <c r="B180" s="81" t="s">
        <v>84</v>
      </c>
      <c r="C180" s="77" t="s">
        <v>260</v>
      </c>
      <c r="D180" s="51" t="s">
        <v>46</v>
      </c>
      <c r="E180" s="77" t="s">
        <v>263</v>
      </c>
      <c r="F180" s="51" t="s">
        <v>276</v>
      </c>
      <c r="G180" s="52">
        <v>1</v>
      </c>
      <c r="H180" s="53">
        <f t="shared" ref="H180:H216" si="27">WORKDAY(I179,1)</f>
        <v>46226</v>
      </c>
      <c r="I180" s="53">
        <f t="shared" ref="I180" si="28">WORKDAY(H180,J180)</f>
        <v>46227</v>
      </c>
      <c r="J180" s="54">
        <f t="shared" si="26"/>
        <v>1</v>
      </c>
      <c r="K180" s="102" t="s">
        <v>22</v>
      </c>
    </row>
    <row r="181" spans="1:11" hidden="1">
      <c r="A181" s="51" t="s">
        <v>262</v>
      </c>
      <c r="B181" s="81" t="s">
        <v>84</v>
      </c>
      <c r="C181" s="77" t="s">
        <v>260</v>
      </c>
      <c r="D181" s="51" t="s">
        <v>50</v>
      </c>
      <c r="E181" s="77" t="s">
        <v>264</v>
      </c>
      <c r="F181" s="51" t="s">
        <v>18</v>
      </c>
      <c r="G181" s="52">
        <v>3</v>
      </c>
      <c r="H181" s="53">
        <f t="shared" si="27"/>
        <v>46230</v>
      </c>
      <c r="I181" s="53">
        <f>WORKDAY(H181,J181)</f>
        <v>46233</v>
      </c>
      <c r="J181" s="54">
        <f t="shared" si="26"/>
        <v>3</v>
      </c>
      <c r="K181" s="102" t="s">
        <v>22</v>
      </c>
    </row>
    <row r="182" spans="1:11">
      <c r="A182" s="51" t="s">
        <v>262</v>
      </c>
      <c r="B182" s="81" t="s">
        <v>84</v>
      </c>
      <c r="C182" s="77" t="s">
        <v>260</v>
      </c>
      <c r="D182" s="51" t="s">
        <v>278</v>
      </c>
      <c r="E182" s="77" t="s">
        <v>265</v>
      </c>
      <c r="F182" s="51" t="s">
        <v>279</v>
      </c>
      <c r="G182" s="52">
        <v>1</v>
      </c>
      <c r="H182" s="53">
        <f t="shared" si="27"/>
        <v>46234</v>
      </c>
      <c r="I182" s="53">
        <f t="shared" ref="I182:I184" si="29">WORKDAY(H182,J182)</f>
        <v>46237</v>
      </c>
      <c r="J182" s="86">
        <f t="shared" si="26"/>
        <v>1</v>
      </c>
      <c r="K182" s="102" t="s">
        <v>22</v>
      </c>
    </row>
    <row r="183" spans="1:11">
      <c r="A183" s="51" t="s">
        <v>262</v>
      </c>
      <c r="B183" s="81" t="s">
        <v>84</v>
      </c>
      <c r="C183" s="77" t="s">
        <v>266</v>
      </c>
      <c r="D183" s="51" t="s">
        <v>46</v>
      </c>
      <c r="E183" s="77" t="s">
        <v>267</v>
      </c>
      <c r="F183" s="51" t="s">
        <v>276</v>
      </c>
      <c r="G183" s="52">
        <v>1</v>
      </c>
      <c r="H183" s="53">
        <f>WORKDAY(I180,1)</f>
        <v>46230</v>
      </c>
      <c r="I183" s="53">
        <f t="shared" si="29"/>
        <v>46231</v>
      </c>
      <c r="J183" s="54">
        <f t="shared" si="26"/>
        <v>1</v>
      </c>
      <c r="K183" s="102" t="s">
        <v>22</v>
      </c>
    </row>
    <row r="184" spans="1:11">
      <c r="A184" s="51" t="s">
        <v>268</v>
      </c>
      <c r="B184" s="81" t="s">
        <v>84</v>
      </c>
      <c r="C184" s="77" t="s">
        <v>266</v>
      </c>
      <c r="D184" s="51" t="s">
        <v>46</v>
      </c>
      <c r="E184" s="77" t="s">
        <v>269</v>
      </c>
      <c r="F184" s="51" t="s">
        <v>276</v>
      </c>
      <c r="G184" s="52">
        <v>1</v>
      </c>
      <c r="H184" s="53">
        <f t="shared" si="27"/>
        <v>46232</v>
      </c>
      <c r="I184" s="53">
        <f t="shared" si="29"/>
        <v>46233</v>
      </c>
      <c r="J184" s="54">
        <f>G184/$N$5</f>
        <v>1</v>
      </c>
      <c r="K184" s="102" t="s">
        <v>22</v>
      </c>
    </row>
    <row r="185" spans="1:11" hidden="1">
      <c r="A185" s="51" t="s">
        <v>268</v>
      </c>
      <c r="B185" s="81" t="s">
        <v>84</v>
      </c>
      <c r="C185" s="77" t="s">
        <v>266</v>
      </c>
      <c r="D185" s="51" t="s">
        <v>50</v>
      </c>
      <c r="E185" s="77" t="s">
        <v>270</v>
      </c>
      <c r="F185" s="51" t="s">
        <v>86</v>
      </c>
      <c r="G185" s="52">
        <v>3</v>
      </c>
      <c r="H185" s="53">
        <f t="shared" si="27"/>
        <v>46234</v>
      </c>
      <c r="I185" s="53">
        <f>WORKDAY(H185,J185)</f>
        <v>46239</v>
      </c>
      <c r="J185" s="54">
        <f>G185/$N$7</f>
        <v>3</v>
      </c>
      <c r="K185" s="102" t="s">
        <v>22</v>
      </c>
    </row>
    <row r="186" spans="1:11">
      <c r="A186" s="82" t="s">
        <v>268</v>
      </c>
      <c r="B186" s="83" t="s">
        <v>84</v>
      </c>
      <c r="C186" s="88" t="s">
        <v>266</v>
      </c>
      <c r="D186" s="82" t="s">
        <v>278</v>
      </c>
      <c r="E186" s="88" t="s">
        <v>271</v>
      </c>
      <c r="F186" s="51" t="s">
        <v>279</v>
      </c>
      <c r="G186" s="84">
        <v>1</v>
      </c>
      <c r="H186" s="85">
        <f t="shared" si="27"/>
        <v>46240</v>
      </c>
      <c r="I186" s="85">
        <f>WORKDAY(H186,J186)</f>
        <v>46241</v>
      </c>
      <c r="J186" s="86">
        <f>G186/$N$5</f>
        <v>1</v>
      </c>
      <c r="K186" s="87" t="s">
        <v>22</v>
      </c>
    </row>
    <row r="187" spans="1:11" hidden="1">
      <c r="A187" s="51" t="s">
        <v>268</v>
      </c>
      <c r="B187" s="49" t="s">
        <v>274</v>
      </c>
      <c r="C187" s="77" t="s">
        <v>282</v>
      </c>
      <c r="D187" s="51" t="s">
        <v>46</v>
      </c>
      <c r="E187" s="51" t="s">
        <v>283</v>
      </c>
      <c r="F187" s="51" t="s">
        <v>276</v>
      </c>
      <c r="G187" s="52">
        <v>0.5</v>
      </c>
      <c r="H187" s="53">
        <f>WORKDAY(I184,1)</f>
        <v>46234</v>
      </c>
      <c r="I187" s="53">
        <f t="shared" ref="I187:I219" si="30">WORKDAY(H187,J187)</f>
        <v>46234</v>
      </c>
      <c r="J187" s="54">
        <f t="shared" ref="J187:J215" si="31">G187/$N$5</f>
        <v>0.5</v>
      </c>
      <c r="K187" s="102" t="s">
        <v>22</v>
      </c>
    </row>
    <row r="188" spans="1:11" hidden="1">
      <c r="A188" s="51" t="s">
        <v>268</v>
      </c>
      <c r="B188" s="49" t="s">
        <v>274</v>
      </c>
      <c r="C188" s="77" t="s">
        <v>282</v>
      </c>
      <c r="D188" s="51" t="s">
        <v>46</v>
      </c>
      <c r="E188" s="51" t="s">
        <v>284</v>
      </c>
      <c r="F188" s="51" t="s">
        <v>276</v>
      </c>
      <c r="G188" s="52">
        <v>0.5</v>
      </c>
      <c r="H188" s="53">
        <f t="shared" si="27"/>
        <v>46237</v>
      </c>
      <c r="I188" s="53">
        <f t="shared" si="30"/>
        <v>46237</v>
      </c>
      <c r="J188" s="54">
        <f t="shared" si="31"/>
        <v>0.5</v>
      </c>
      <c r="K188" s="102" t="s">
        <v>22</v>
      </c>
    </row>
    <row r="189" spans="1:11" hidden="1">
      <c r="A189" s="51" t="s">
        <v>285</v>
      </c>
      <c r="B189" s="49" t="s">
        <v>274</v>
      </c>
      <c r="C189" s="77" t="s">
        <v>282</v>
      </c>
      <c r="D189" s="51" t="s">
        <v>50</v>
      </c>
      <c r="E189" s="51" t="s">
        <v>286</v>
      </c>
      <c r="F189" s="51" t="s">
        <v>62</v>
      </c>
      <c r="G189" s="52">
        <v>3</v>
      </c>
      <c r="H189" s="53">
        <f t="shared" si="27"/>
        <v>46238</v>
      </c>
      <c r="I189" s="53">
        <f t="shared" si="30"/>
        <v>46241</v>
      </c>
      <c r="J189" s="54">
        <f>G189/$N$8</f>
        <v>3</v>
      </c>
      <c r="K189" s="102" t="s">
        <v>22</v>
      </c>
    </row>
    <row r="190" spans="1:11" hidden="1">
      <c r="A190" s="51" t="s">
        <v>285</v>
      </c>
      <c r="B190" s="49" t="s">
        <v>274</v>
      </c>
      <c r="C190" s="77" t="s">
        <v>282</v>
      </c>
      <c r="D190" s="51" t="s">
        <v>50</v>
      </c>
      <c r="E190" s="51" t="s">
        <v>287</v>
      </c>
      <c r="F190" s="51" t="s">
        <v>18</v>
      </c>
      <c r="G190" s="52">
        <v>4</v>
      </c>
      <c r="H190" s="53">
        <f>WORKDAY(I188,1)</f>
        <v>46238</v>
      </c>
      <c r="I190" s="53">
        <f t="shared" si="30"/>
        <v>46244</v>
      </c>
      <c r="J190" s="54">
        <f t="shared" si="31"/>
        <v>4</v>
      </c>
      <c r="K190" s="102" t="s">
        <v>22</v>
      </c>
    </row>
    <row r="191" spans="1:11" hidden="1">
      <c r="A191" s="51" t="s">
        <v>285</v>
      </c>
      <c r="B191" s="49" t="s">
        <v>274</v>
      </c>
      <c r="C191" s="77" t="s">
        <v>282</v>
      </c>
      <c r="D191" s="51" t="s">
        <v>278</v>
      </c>
      <c r="E191" s="51" t="s">
        <v>288</v>
      </c>
      <c r="F191" s="51" t="s">
        <v>279</v>
      </c>
      <c r="G191" s="52">
        <v>2</v>
      </c>
      <c r="H191" s="53">
        <f t="shared" si="27"/>
        <v>46245</v>
      </c>
      <c r="I191" s="53">
        <f t="shared" si="30"/>
        <v>46247</v>
      </c>
      <c r="J191" s="86">
        <f>G191/$N$5</f>
        <v>2</v>
      </c>
      <c r="K191" s="102" t="s">
        <v>22</v>
      </c>
    </row>
    <row r="192" spans="1:11" hidden="1">
      <c r="A192" s="51" t="s">
        <v>289</v>
      </c>
      <c r="B192" s="49" t="s">
        <v>274</v>
      </c>
      <c r="C192" s="77" t="s">
        <v>290</v>
      </c>
      <c r="D192" s="51" t="s">
        <v>46</v>
      </c>
      <c r="E192" s="51" t="s">
        <v>291</v>
      </c>
      <c r="F192" s="51" t="s">
        <v>276</v>
      </c>
      <c r="G192" s="52">
        <v>0.5</v>
      </c>
      <c r="H192" s="53">
        <f>WORKDAY(I188,1)</f>
        <v>46238</v>
      </c>
      <c r="I192" s="53">
        <f t="shared" si="30"/>
        <v>46238</v>
      </c>
      <c r="J192" s="54">
        <f t="shared" si="31"/>
        <v>0.5</v>
      </c>
      <c r="K192" s="102" t="s">
        <v>22</v>
      </c>
    </row>
    <row r="193" spans="1:11" hidden="1">
      <c r="A193" s="51" t="s">
        <v>289</v>
      </c>
      <c r="B193" s="49" t="s">
        <v>274</v>
      </c>
      <c r="C193" s="77" t="s">
        <v>290</v>
      </c>
      <c r="D193" s="51" t="s">
        <v>46</v>
      </c>
      <c r="E193" s="51" t="s">
        <v>292</v>
      </c>
      <c r="F193" s="51" t="s">
        <v>276</v>
      </c>
      <c r="G193" s="52">
        <v>0.5</v>
      </c>
      <c r="H193" s="53">
        <f t="shared" si="27"/>
        <v>46239</v>
      </c>
      <c r="I193" s="53">
        <f t="shared" si="30"/>
        <v>46239</v>
      </c>
      <c r="J193" s="54">
        <f t="shared" si="31"/>
        <v>0.5</v>
      </c>
      <c r="K193" s="102" t="s">
        <v>22</v>
      </c>
    </row>
    <row r="194" spans="1:11" hidden="1">
      <c r="A194" s="51" t="s">
        <v>289</v>
      </c>
      <c r="B194" s="49" t="s">
        <v>274</v>
      </c>
      <c r="C194" s="77" t="s">
        <v>290</v>
      </c>
      <c r="D194" s="51" t="s">
        <v>50</v>
      </c>
      <c r="E194" s="51" t="s">
        <v>293</v>
      </c>
      <c r="F194" s="51" t="s">
        <v>62</v>
      </c>
      <c r="G194" s="52">
        <v>1</v>
      </c>
      <c r="H194" s="53">
        <f t="shared" si="27"/>
        <v>46240</v>
      </c>
      <c r="I194" s="53">
        <f t="shared" si="30"/>
        <v>46241</v>
      </c>
      <c r="J194" s="54">
        <f>G194/$N$8</f>
        <v>1</v>
      </c>
      <c r="K194" s="102" t="s">
        <v>22</v>
      </c>
    </row>
    <row r="195" spans="1:11" hidden="1">
      <c r="A195" s="51" t="s">
        <v>289</v>
      </c>
      <c r="B195" s="49" t="s">
        <v>274</v>
      </c>
      <c r="C195" s="77" t="s">
        <v>290</v>
      </c>
      <c r="D195" s="51" t="s">
        <v>50</v>
      </c>
      <c r="E195" s="51" t="s">
        <v>294</v>
      </c>
      <c r="F195" s="51" t="s">
        <v>86</v>
      </c>
      <c r="G195" s="52">
        <v>3</v>
      </c>
      <c r="H195" s="53">
        <f>WORKDAY(I193,1)</f>
        <v>46240</v>
      </c>
      <c r="I195" s="53">
        <f t="shared" si="30"/>
        <v>46245</v>
      </c>
      <c r="J195" s="54">
        <f>G195/$N$7</f>
        <v>3</v>
      </c>
      <c r="K195" s="102" t="s">
        <v>22</v>
      </c>
    </row>
    <row r="196" spans="1:11" hidden="1">
      <c r="A196" s="51" t="s">
        <v>295</v>
      </c>
      <c r="B196" s="49" t="s">
        <v>274</v>
      </c>
      <c r="C196" s="77" t="s">
        <v>290</v>
      </c>
      <c r="D196" s="51" t="s">
        <v>278</v>
      </c>
      <c r="E196" s="51" t="s">
        <v>296</v>
      </c>
      <c r="F196" s="51" t="s">
        <v>279</v>
      </c>
      <c r="G196" s="52">
        <v>1</v>
      </c>
      <c r="H196" s="53">
        <f t="shared" si="27"/>
        <v>46246</v>
      </c>
      <c r="I196" s="53">
        <f t="shared" si="30"/>
        <v>46247</v>
      </c>
      <c r="J196" s="86">
        <f>G196/$N$5</f>
        <v>1</v>
      </c>
      <c r="K196" s="102" t="s">
        <v>22</v>
      </c>
    </row>
    <row r="197" spans="1:11" hidden="1">
      <c r="A197" s="51" t="s">
        <v>295</v>
      </c>
      <c r="B197" s="49" t="s">
        <v>274</v>
      </c>
      <c r="C197" s="77" t="s">
        <v>297</v>
      </c>
      <c r="D197" s="51" t="s">
        <v>46</v>
      </c>
      <c r="E197" s="51" t="s">
        <v>298</v>
      </c>
      <c r="F197" s="51" t="s">
        <v>276</v>
      </c>
      <c r="G197" s="52">
        <v>0.5</v>
      </c>
      <c r="H197" s="53">
        <f>WORKDAY(I193,1)</f>
        <v>46240</v>
      </c>
      <c r="I197" s="53">
        <f t="shared" si="30"/>
        <v>46240</v>
      </c>
      <c r="J197" s="54">
        <f t="shared" si="31"/>
        <v>0.5</v>
      </c>
      <c r="K197" s="102" t="s">
        <v>22</v>
      </c>
    </row>
    <row r="198" spans="1:11" hidden="1">
      <c r="A198" s="51" t="s">
        <v>295</v>
      </c>
      <c r="B198" s="49" t="s">
        <v>274</v>
      </c>
      <c r="C198" s="77" t="s">
        <v>297</v>
      </c>
      <c r="D198" s="51" t="s">
        <v>46</v>
      </c>
      <c r="E198" s="51" t="s">
        <v>299</v>
      </c>
      <c r="F198" s="51" t="s">
        <v>276</v>
      </c>
      <c r="G198" s="52">
        <v>0.5</v>
      </c>
      <c r="H198" s="53">
        <f t="shared" si="27"/>
        <v>46241</v>
      </c>
      <c r="I198" s="53">
        <f t="shared" si="30"/>
        <v>46241</v>
      </c>
      <c r="J198" s="54">
        <f t="shared" si="31"/>
        <v>0.5</v>
      </c>
      <c r="K198" s="102" t="s">
        <v>22</v>
      </c>
    </row>
    <row r="199" spans="1:11" hidden="1">
      <c r="A199" s="51" t="s">
        <v>295</v>
      </c>
      <c r="B199" s="49" t="s">
        <v>274</v>
      </c>
      <c r="C199" s="77" t="s">
        <v>297</v>
      </c>
      <c r="D199" s="51" t="s">
        <v>50</v>
      </c>
      <c r="E199" s="51" t="s">
        <v>300</v>
      </c>
      <c r="F199" s="51" t="s">
        <v>62</v>
      </c>
      <c r="G199" s="52">
        <v>2</v>
      </c>
      <c r="H199" s="53">
        <f t="shared" si="27"/>
        <v>46244</v>
      </c>
      <c r="I199" s="53">
        <f t="shared" si="30"/>
        <v>46246</v>
      </c>
      <c r="J199" s="54">
        <f>G199/$N$8</f>
        <v>2</v>
      </c>
      <c r="K199" s="102" t="s">
        <v>22</v>
      </c>
    </row>
    <row r="200" spans="1:11" hidden="1">
      <c r="A200" s="51" t="s">
        <v>295</v>
      </c>
      <c r="B200" s="49" t="s">
        <v>274</v>
      </c>
      <c r="C200" s="77" t="s">
        <v>297</v>
      </c>
      <c r="D200" s="51" t="s">
        <v>50</v>
      </c>
      <c r="E200" s="51" t="s">
        <v>301</v>
      </c>
      <c r="F200" s="51" t="s">
        <v>18</v>
      </c>
      <c r="G200" s="52">
        <v>2</v>
      </c>
      <c r="H200" s="53">
        <v>46224</v>
      </c>
      <c r="I200" s="53">
        <f t="shared" si="30"/>
        <v>46226</v>
      </c>
      <c r="J200" s="54">
        <f t="shared" si="31"/>
        <v>2</v>
      </c>
      <c r="K200" s="102" t="s">
        <v>22</v>
      </c>
    </row>
    <row r="201" spans="1:11" hidden="1">
      <c r="A201" s="51" t="s">
        <v>302</v>
      </c>
      <c r="B201" s="49" t="s">
        <v>274</v>
      </c>
      <c r="C201" s="77" t="s">
        <v>297</v>
      </c>
      <c r="D201" s="51" t="s">
        <v>278</v>
      </c>
      <c r="E201" s="51" t="s">
        <v>303</v>
      </c>
      <c r="F201" s="51" t="s">
        <v>279</v>
      </c>
      <c r="G201" s="52">
        <v>1</v>
      </c>
      <c r="H201" s="53">
        <f t="shared" si="27"/>
        <v>46227</v>
      </c>
      <c r="I201" s="53">
        <f t="shared" si="30"/>
        <v>46230</v>
      </c>
      <c r="J201" s="86">
        <f>G201/$N$5</f>
        <v>1</v>
      </c>
      <c r="K201" s="102" t="s">
        <v>22</v>
      </c>
    </row>
    <row r="202" spans="1:11" hidden="1">
      <c r="A202" s="51" t="s">
        <v>302</v>
      </c>
      <c r="B202" s="49" t="s">
        <v>274</v>
      </c>
      <c r="C202" s="77" t="s">
        <v>304</v>
      </c>
      <c r="D202" s="51" t="s">
        <v>46</v>
      </c>
      <c r="E202" s="51" t="s">
        <v>305</v>
      </c>
      <c r="F202" s="51" t="s">
        <v>276</v>
      </c>
      <c r="G202" s="52">
        <v>0.2</v>
      </c>
      <c r="H202" s="53">
        <f>WORKDAY(I198,1)</f>
        <v>46244</v>
      </c>
      <c r="I202" s="53">
        <f t="shared" si="30"/>
        <v>46244</v>
      </c>
      <c r="J202" s="54">
        <f t="shared" si="31"/>
        <v>0.2</v>
      </c>
      <c r="K202" s="102" t="s">
        <v>22</v>
      </c>
    </row>
    <row r="203" spans="1:11" hidden="1">
      <c r="A203" s="51" t="s">
        <v>302</v>
      </c>
      <c r="B203" s="49" t="s">
        <v>274</v>
      </c>
      <c r="C203" s="77" t="s">
        <v>304</v>
      </c>
      <c r="D203" s="51" t="s">
        <v>46</v>
      </c>
      <c r="E203" s="51" t="s">
        <v>306</v>
      </c>
      <c r="F203" s="51" t="s">
        <v>276</v>
      </c>
      <c r="G203" s="52">
        <v>0.3</v>
      </c>
      <c r="H203" s="53">
        <f t="shared" si="27"/>
        <v>46245</v>
      </c>
      <c r="I203" s="53">
        <f t="shared" si="30"/>
        <v>46245</v>
      </c>
      <c r="J203" s="54">
        <f t="shared" si="31"/>
        <v>0.3</v>
      </c>
      <c r="K203" s="102" t="s">
        <v>22</v>
      </c>
    </row>
    <row r="204" spans="1:11" hidden="1">
      <c r="A204" s="51" t="s">
        <v>302</v>
      </c>
      <c r="B204" s="49" t="s">
        <v>274</v>
      </c>
      <c r="C204" s="77" t="s">
        <v>304</v>
      </c>
      <c r="D204" s="51" t="s">
        <v>50</v>
      </c>
      <c r="E204" s="51" t="s">
        <v>307</v>
      </c>
      <c r="F204" s="51" t="s">
        <v>62</v>
      </c>
      <c r="G204" s="52">
        <v>0.2</v>
      </c>
      <c r="H204" s="53">
        <v>46226</v>
      </c>
      <c r="I204" s="53">
        <f t="shared" si="30"/>
        <v>46226</v>
      </c>
      <c r="J204" s="54">
        <f>G204/$N$8</f>
        <v>0.2</v>
      </c>
      <c r="K204" s="102" t="s">
        <v>22</v>
      </c>
    </row>
    <row r="205" spans="1:11" hidden="1">
      <c r="A205" s="51" t="s">
        <v>302</v>
      </c>
      <c r="B205" s="49" t="s">
        <v>274</v>
      </c>
      <c r="C205" s="77" t="s">
        <v>304</v>
      </c>
      <c r="D205" s="51" t="s">
        <v>50</v>
      </c>
      <c r="E205" s="51" t="s">
        <v>308</v>
      </c>
      <c r="F205" s="51" t="s">
        <v>86</v>
      </c>
      <c r="G205" s="52">
        <v>0.5</v>
      </c>
      <c r="H205" s="53">
        <v>46226</v>
      </c>
      <c r="I205" s="53">
        <f t="shared" si="30"/>
        <v>46226</v>
      </c>
      <c r="J205" s="54">
        <f t="shared" si="31"/>
        <v>0.5</v>
      </c>
      <c r="K205" s="102" t="s">
        <v>22</v>
      </c>
    </row>
    <row r="206" spans="1:11" hidden="1">
      <c r="A206" s="51" t="s">
        <v>302</v>
      </c>
      <c r="B206" s="49" t="s">
        <v>274</v>
      </c>
      <c r="C206" s="77" t="s">
        <v>304</v>
      </c>
      <c r="D206" s="51" t="s">
        <v>278</v>
      </c>
      <c r="E206" s="51" t="s">
        <v>309</v>
      </c>
      <c r="F206" s="51" t="s">
        <v>279</v>
      </c>
      <c r="G206" s="52">
        <v>0.3</v>
      </c>
      <c r="H206" s="53">
        <f t="shared" si="27"/>
        <v>46227</v>
      </c>
      <c r="I206" s="53">
        <f t="shared" si="30"/>
        <v>46227</v>
      </c>
      <c r="J206" s="86">
        <f>G206/$N$5</f>
        <v>0.3</v>
      </c>
      <c r="K206" s="102" t="s">
        <v>22</v>
      </c>
    </row>
    <row r="207" spans="1:11" hidden="1">
      <c r="A207" s="51" t="s">
        <v>302</v>
      </c>
      <c r="B207" s="49" t="s">
        <v>274</v>
      </c>
      <c r="C207" s="77" t="s">
        <v>310</v>
      </c>
      <c r="D207" s="51" t="s">
        <v>46</v>
      </c>
      <c r="E207" s="51" t="s">
        <v>311</v>
      </c>
      <c r="F207" s="51" t="s">
        <v>276</v>
      </c>
      <c r="G207" s="52">
        <v>0.2</v>
      </c>
      <c r="H207" s="53">
        <f>WORKDAY(I203,1)</f>
        <v>46246</v>
      </c>
      <c r="I207" s="53">
        <f t="shared" si="30"/>
        <v>46246</v>
      </c>
      <c r="J207" s="54">
        <f t="shared" si="31"/>
        <v>0.2</v>
      </c>
      <c r="K207" s="102" t="s">
        <v>22</v>
      </c>
    </row>
    <row r="208" spans="1:11" hidden="1">
      <c r="A208" s="51" t="s">
        <v>302</v>
      </c>
      <c r="B208" s="49" t="s">
        <v>274</v>
      </c>
      <c r="C208" s="77" t="s">
        <v>310</v>
      </c>
      <c r="D208" s="51" t="s">
        <v>46</v>
      </c>
      <c r="E208" s="51" t="s">
        <v>312</v>
      </c>
      <c r="F208" s="51" t="s">
        <v>276</v>
      </c>
      <c r="G208" s="52">
        <v>0.3</v>
      </c>
      <c r="H208" s="53">
        <f t="shared" si="27"/>
        <v>46247</v>
      </c>
      <c r="I208" s="53">
        <f t="shared" si="30"/>
        <v>46247</v>
      </c>
      <c r="J208" s="54">
        <f t="shared" si="31"/>
        <v>0.3</v>
      </c>
      <c r="K208" s="102" t="s">
        <v>22</v>
      </c>
    </row>
    <row r="209" spans="1:11" hidden="1">
      <c r="A209" s="51" t="s">
        <v>302</v>
      </c>
      <c r="B209" s="49" t="s">
        <v>274</v>
      </c>
      <c r="C209" s="77" t="s">
        <v>310</v>
      </c>
      <c r="D209" s="51" t="s">
        <v>50</v>
      </c>
      <c r="E209" s="51" t="s">
        <v>313</v>
      </c>
      <c r="F209" s="51" t="s">
        <v>62</v>
      </c>
      <c r="G209" s="52">
        <v>0.2</v>
      </c>
      <c r="H209" s="53">
        <f t="shared" si="27"/>
        <v>46248</v>
      </c>
      <c r="I209" s="53">
        <f t="shared" si="30"/>
        <v>46248</v>
      </c>
      <c r="J209" s="54">
        <f>G209/$N$8</f>
        <v>0.2</v>
      </c>
      <c r="K209" s="102" t="s">
        <v>22</v>
      </c>
    </row>
    <row r="210" spans="1:11" hidden="1">
      <c r="A210" s="51" t="s">
        <v>314</v>
      </c>
      <c r="B210" s="49" t="s">
        <v>274</v>
      </c>
      <c r="C210" s="77" t="s">
        <v>310</v>
      </c>
      <c r="D210" s="51" t="s">
        <v>50</v>
      </c>
      <c r="E210" s="51" t="s">
        <v>315</v>
      </c>
      <c r="F210" s="51" t="s">
        <v>18</v>
      </c>
      <c r="G210" s="52">
        <v>0.5</v>
      </c>
      <c r="H210" s="53">
        <f>WORKDAY(I208,1)</f>
        <v>46248</v>
      </c>
      <c r="I210" s="53">
        <f t="shared" si="30"/>
        <v>46248</v>
      </c>
      <c r="J210" s="54">
        <f t="shared" si="31"/>
        <v>0.5</v>
      </c>
      <c r="K210" s="102" t="s">
        <v>22</v>
      </c>
    </row>
    <row r="211" spans="1:11" hidden="1">
      <c r="A211" s="51" t="s">
        <v>314</v>
      </c>
      <c r="B211" s="49" t="s">
        <v>274</v>
      </c>
      <c r="C211" s="77" t="s">
        <v>310</v>
      </c>
      <c r="D211" s="51" t="s">
        <v>278</v>
      </c>
      <c r="E211" s="51" t="s">
        <v>316</v>
      </c>
      <c r="F211" s="51" t="s">
        <v>279</v>
      </c>
      <c r="G211" s="52">
        <v>0.3</v>
      </c>
      <c r="H211" s="53">
        <f t="shared" si="27"/>
        <v>46251</v>
      </c>
      <c r="I211" s="53">
        <f t="shared" si="30"/>
        <v>46251</v>
      </c>
      <c r="J211" s="86">
        <f>G211/$N$5</f>
        <v>0.3</v>
      </c>
      <c r="K211" s="102" t="s">
        <v>22</v>
      </c>
    </row>
    <row r="212" spans="1:11" hidden="1">
      <c r="A212" s="51" t="s">
        <v>314</v>
      </c>
      <c r="B212" s="49" t="s">
        <v>274</v>
      </c>
      <c r="C212" s="77" t="s">
        <v>317</v>
      </c>
      <c r="D212" s="51" t="s">
        <v>46</v>
      </c>
      <c r="E212" s="51" t="s">
        <v>318</v>
      </c>
      <c r="F212" s="51" t="s">
        <v>276</v>
      </c>
      <c r="G212" s="52">
        <v>1</v>
      </c>
      <c r="H212" s="53">
        <f>WORKDAY(I208,1)</f>
        <v>46248</v>
      </c>
      <c r="I212" s="53">
        <f t="shared" si="30"/>
        <v>46251</v>
      </c>
      <c r="J212" s="54">
        <f t="shared" si="31"/>
        <v>1</v>
      </c>
      <c r="K212" s="102" t="s">
        <v>22</v>
      </c>
    </row>
    <row r="213" spans="1:11" hidden="1">
      <c r="A213" s="51" t="s">
        <v>314</v>
      </c>
      <c r="B213" s="49" t="s">
        <v>274</v>
      </c>
      <c r="C213" s="77" t="s">
        <v>317</v>
      </c>
      <c r="D213" s="51" t="s">
        <v>46</v>
      </c>
      <c r="E213" s="51" t="s">
        <v>319</v>
      </c>
      <c r="F213" s="51" t="s">
        <v>276</v>
      </c>
      <c r="G213" s="52">
        <v>1</v>
      </c>
      <c r="H213" s="53">
        <f t="shared" si="27"/>
        <v>46252</v>
      </c>
      <c r="I213" s="53">
        <f t="shared" si="30"/>
        <v>46253</v>
      </c>
      <c r="J213" s="54">
        <f t="shared" si="31"/>
        <v>1</v>
      </c>
      <c r="K213" s="102" t="s">
        <v>22</v>
      </c>
    </row>
    <row r="214" spans="1:11" hidden="1">
      <c r="A214" s="51" t="s">
        <v>314</v>
      </c>
      <c r="B214" s="49" t="s">
        <v>274</v>
      </c>
      <c r="C214" s="77" t="s">
        <v>317</v>
      </c>
      <c r="D214" s="51" t="s">
        <v>50</v>
      </c>
      <c r="E214" s="51" t="s">
        <v>320</v>
      </c>
      <c r="F214" s="51" t="s">
        <v>62</v>
      </c>
      <c r="G214" s="52">
        <v>1.5</v>
      </c>
      <c r="H214" s="53">
        <f t="shared" si="27"/>
        <v>46254</v>
      </c>
      <c r="I214" s="53">
        <f t="shared" si="30"/>
        <v>46255</v>
      </c>
      <c r="J214" s="54">
        <f>G214/$N$8</f>
        <v>1.5</v>
      </c>
      <c r="K214" s="102" t="s">
        <v>22</v>
      </c>
    </row>
    <row r="215" spans="1:11" hidden="1">
      <c r="A215" s="51" t="s">
        <v>314</v>
      </c>
      <c r="B215" s="49" t="s">
        <v>274</v>
      </c>
      <c r="C215" s="77" t="s">
        <v>317</v>
      </c>
      <c r="D215" s="51" t="s">
        <v>50</v>
      </c>
      <c r="E215" s="51" t="s">
        <v>321</v>
      </c>
      <c r="F215" s="51" t="s">
        <v>18</v>
      </c>
      <c r="G215" s="52">
        <v>2.5</v>
      </c>
      <c r="H215" s="53">
        <f>WORKDAY(I213,1)</f>
        <v>46254</v>
      </c>
      <c r="I215" s="53">
        <f t="shared" si="30"/>
        <v>46258</v>
      </c>
      <c r="J215" s="54">
        <f t="shared" si="31"/>
        <v>2.5</v>
      </c>
      <c r="K215" s="102" t="s">
        <v>22</v>
      </c>
    </row>
    <row r="216" spans="1:11" hidden="1">
      <c r="A216" s="51" t="s">
        <v>330</v>
      </c>
      <c r="B216" s="49" t="s">
        <v>274</v>
      </c>
      <c r="C216" s="77" t="s">
        <v>317</v>
      </c>
      <c r="D216" s="51" t="s">
        <v>278</v>
      </c>
      <c r="E216" s="51" t="s">
        <v>322</v>
      </c>
      <c r="F216" s="51" t="s">
        <v>279</v>
      </c>
      <c r="G216" s="52">
        <v>1</v>
      </c>
      <c r="H216" s="53">
        <f t="shared" si="27"/>
        <v>46259</v>
      </c>
      <c r="I216" s="53">
        <f t="shared" si="30"/>
        <v>46260</v>
      </c>
      <c r="J216" s="86">
        <f>G216/$N$5</f>
        <v>1</v>
      </c>
      <c r="K216" s="102" t="s">
        <v>22</v>
      </c>
    </row>
    <row r="217" spans="1:11">
      <c r="A217" s="51" t="s">
        <v>268</v>
      </c>
      <c r="B217" s="49" t="s">
        <v>274</v>
      </c>
      <c r="C217" s="51" t="s">
        <v>282</v>
      </c>
      <c r="D217" s="51" t="s">
        <v>46</v>
      </c>
      <c r="E217" s="51" t="s">
        <v>283</v>
      </c>
      <c r="F217" s="51" t="s">
        <v>276</v>
      </c>
      <c r="G217" s="52">
        <v>1</v>
      </c>
      <c r="H217" s="53">
        <v>46447</v>
      </c>
      <c r="I217" s="53">
        <f t="shared" si="30"/>
        <v>46448</v>
      </c>
      <c r="J217" s="49">
        <v>1</v>
      </c>
      <c r="K217" s="49" t="s">
        <v>22</v>
      </c>
    </row>
    <row r="218" spans="1:11">
      <c r="A218" s="51" t="s">
        <v>268</v>
      </c>
      <c r="B218" s="49" t="s">
        <v>274</v>
      </c>
      <c r="C218" s="51" t="s">
        <v>282</v>
      </c>
      <c r="D218" s="51" t="s">
        <v>46</v>
      </c>
      <c r="E218" s="51" t="s">
        <v>284</v>
      </c>
      <c r="F218" s="51" t="s">
        <v>276</v>
      </c>
      <c r="G218" s="52">
        <v>1</v>
      </c>
      <c r="H218" s="53">
        <f t="shared" ref="H218:H228" si="32">WORKDAY(I217,1)</f>
        <v>46449</v>
      </c>
      <c r="I218" s="53">
        <f t="shared" si="30"/>
        <v>46450</v>
      </c>
      <c r="J218" s="49">
        <v>1</v>
      </c>
      <c r="K218" s="49" t="s">
        <v>22</v>
      </c>
    </row>
    <row r="219" spans="1:11" hidden="1">
      <c r="A219" s="51" t="s">
        <v>285</v>
      </c>
      <c r="B219" s="49" t="s">
        <v>274</v>
      </c>
      <c r="C219" s="51" t="s">
        <v>282</v>
      </c>
      <c r="D219" s="51" t="s">
        <v>50</v>
      </c>
      <c r="E219" s="51" t="s">
        <v>286</v>
      </c>
      <c r="F219" s="51" t="s">
        <v>281</v>
      </c>
      <c r="G219" s="52">
        <v>3</v>
      </c>
      <c r="H219" s="53">
        <f>WORKDAY(I218,1)</f>
        <v>46451</v>
      </c>
      <c r="I219" s="53">
        <f t="shared" si="30"/>
        <v>46456</v>
      </c>
      <c r="J219" s="49">
        <v>3</v>
      </c>
      <c r="K219" s="49" t="s">
        <v>22</v>
      </c>
    </row>
    <row r="220" spans="1:11" hidden="1">
      <c r="A220" s="51" t="s">
        <v>285</v>
      </c>
      <c r="B220" s="49" t="s">
        <v>274</v>
      </c>
      <c r="C220" s="51" t="s">
        <v>282</v>
      </c>
      <c r="D220" s="51" t="s">
        <v>50</v>
      </c>
      <c r="E220" s="51" t="s">
        <v>287</v>
      </c>
      <c r="F220" s="51" t="s">
        <v>86</v>
      </c>
      <c r="G220" s="52">
        <v>4</v>
      </c>
      <c r="H220" s="53">
        <f>WORKDAY(I218,1)</f>
        <v>46451</v>
      </c>
      <c r="I220" s="53">
        <f t="shared" ref="I220:I246" si="33">WORKDAY(H220,J220)</f>
        <v>46457</v>
      </c>
      <c r="J220" s="49">
        <v>4</v>
      </c>
      <c r="K220" s="49" t="s">
        <v>22</v>
      </c>
    </row>
    <row r="221" spans="1:11" hidden="1">
      <c r="A221" s="51" t="s">
        <v>285</v>
      </c>
      <c r="B221" s="49" t="s">
        <v>274</v>
      </c>
      <c r="C221" s="51" t="s">
        <v>282</v>
      </c>
      <c r="D221" s="51" t="s">
        <v>278</v>
      </c>
      <c r="E221" s="51" t="s">
        <v>288</v>
      </c>
      <c r="F221" s="51" t="s">
        <v>86</v>
      </c>
      <c r="G221" s="52">
        <v>2</v>
      </c>
      <c r="H221" s="53">
        <f>WORKDAY(I220,1)</f>
        <v>46458</v>
      </c>
      <c r="I221" s="53">
        <f t="shared" si="33"/>
        <v>46462</v>
      </c>
      <c r="J221" s="49">
        <v>2</v>
      </c>
      <c r="K221" s="49" t="s">
        <v>22</v>
      </c>
    </row>
    <row r="222" spans="1:11" hidden="1">
      <c r="A222" s="51" t="s">
        <v>289</v>
      </c>
      <c r="B222" s="49" t="s">
        <v>274</v>
      </c>
      <c r="C222" s="51" t="s">
        <v>290</v>
      </c>
      <c r="D222" s="51" t="s">
        <v>46</v>
      </c>
      <c r="E222" s="51" t="s">
        <v>291</v>
      </c>
      <c r="F222" s="51" t="s">
        <v>18</v>
      </c>
      <c r="G222" s="52">
        <v>1</v>
      </c>
      <c r="H222" s="53">
        <v>46447</v>
      </c>
      <c r="I222" s="53">
        <f t="shared" si="33"/>
        <v>46448</v>
      </c>
      <c r="J222" s="49">
        <v>1</v>
      </c>
      <c r="K222" s="49" t="s">
        <v>22</v>
      </c>
    </row>
    <row r="223" spans="1:11" hidden="1">
      <c r="A223" s="51" t="s">
        <v>289</v>
      </c>
      <c r="B223" s="49" t="s">
        <v>274</v>
      </c>
      <c r="C223" s="51" t="s">
        <v>290</v>
      </c>
      <c r="D223" s="51" t="s">
        <v>46</v>
      </c>
      <c r="E223" s="51" t="s">
        <v>292</v>
      </c>
      <c r="F223" s="51" t="s">
        <v>18</v>
      </c>
      <c r="G223" s="52">
        <v>1</v>
      </c>
      <c r="H223" s="53">
        <f t="shared" si="32"/>
        <v>46449</v>
      </c>
      <c r="I223" s="53">
        <f t="shared" si="33"/>
        <v>46450</v>
      </c>
      <c r="J223" s="49">
        <v>1</v>
      </c>
      <c r="K223" s="49" t="s">
        <v>22</v>
      </c>
    </row>
    <row r="224" spans="1:11" hidden="1">
      <c r="A224" s="51" t="s">
        <v>289</v>
      </c>
      <c r="B224" s="49" t="s">
        <v>274</v>
      </c>
      <c r="C224" s="51" t="s">
        <v>290</v>
      </c>
      <c r="D224" s="51" t="s">
        <v>50</v>
      </c>
      <c r="E224" s="51" t="s">
        <v>293</v>
      </c>
      <c r="F224" s="51" t="s">
        <v>281</v>
      </c>
      <c r="G224" s="52">
        <v>1</v>
      </c>
      <c r="H224" s="53">
        <f t="shared" si="32"/>
        <v>46451</v>
      </c>
      <c r="I224" s="53">
        <f t="shared" si="33"/>
        <v>46454</v>
      </c>
      <c r="J224" s="49">
        <v>1</v>
      </c>
      <c r="K224" s="49" t="s">
        <v>22</v>
      </c>
    </row>
    <row r="225" spans="1:11" hidden="1">
      <c r="A225" s="51" t="s">
        <v>289</v>
      </c>
      <c r="B225" s="49" t="s">
        <v>274</v>
      </c>
      <c r="C225" s="51" t="s">
        <v>290</v>
      </c>
      <c r="D225" s="51" t="s">
        <v>50</v>
      </c>
      <c r="E225" s="51" t="s">
        <v>294</v>
      </c>
      <c r="F225" s="51" t="s">
        <v>18</v>
      </c>
      <c r="G225" s="52">
        <v>3</v>
      </c>
      <c r="H225" s="53">
        <f>WORKDAY(I223,1)</f>
        <v>46451</v>
      </c>
      <c r="I225" s="53">
        <f t="shared" si="33"/>
        <v>46456</v>
      </c>
      <c r="J225" s="49">
        <v>3</v>
      </c>
      <c r="K225" s="49" t="s">
        <v>22</v>
      </c>
    </row>
    <row r="226" spans="1:11" hidden="1">
      <c r="A226" s="51" t="s">
        <v>295</v>
      </c>
      <c r="B226" s="49" t="s">
        <v>274</v>
      </c>
      <c r="C226" s="51" t="s">
        <v>290</v>
      </c>
      <c r="D226" s="51" t="s">
        <v>278</v>
      </c>
      <c r="E226" s="51" t="s">
        <v>296</v>
      </c>
      <c r="F226" s="51" t="s">
        <v>18</v>
      </c>
      <c r="G226" s="52">
        <v>1</v>
      </c>
      <c r="H226" s="53">
        <f>WORKDAY(I225,1)</f>
        <v>46457</v>
      </c>
      <c r="I226" s="53">
        <f t="shared" si="33"/>
        <v>46458</v>
      </c>
      <c r="J226" s="49">
        <v>1</v>
      </c>
      <c r="K226" s="49" t="s">
        <v>22</v>
      </c>
    </row>
    <row r="227" spans="1:11">
      <c r="A227" s="51" t="s">
        <v>295</v>
      </c>
      <c r="B227" s="49" t="s">
        <v>274</v>
      </c>
      <c r="C227" s="51" t="s">
        <v>297</v>
      </c>
      <c r="D227" s="51" t="s">
        <v>46</v>
      </c>
      <c r="E227" s="51" t="s">
        <v>298</v>
      </c>
      <c r="F227" s="51" t="s">
        <v>276</v>
      </c>
      <c r="G227" s="52">
        <v>1</v>
      </c>
      <c r="H227" s="53">
        <f>WORKDAY(I223,1)</f>
        <v>46451</v>
      </c>
      <c r="I227" s="53">
        <f t="shared" si="33"/>
        <v>46454</v>
      </c>
      <c r="J227" s="49">
        <v>1</v>
      </c>
      <c r="K227" s="49" t="s">
        <v>22</v>
      </c>
    </row>
    <row r="228" spans="1:11">
      <c r="A228" s="51" t="s">
        <v>295</v>
      </c>
      <c r="B228" s="49" t="s">
        <v>274</v>
      </c>
      <c r="C228" s="51" t="s">
        <v>297</v>
      </c>
      <c r="D228" s="51" t="s">
        <v>46</v>
      </c>
      <c r="E228" s="51" t="s">
        <v>299</v>
      </c>
      <c r="F228" s="51" t="s">
        <v>276</v>
      </c>
      <c r="G228" s="52">
        <v>1</v>
      </c>
      <c r="H228" s="53">
        <f t="shared" si="32"/>
        <v>46455</v>
      </c>
      <c r="I228" s="53">
        <f t="shared" si="33"/>
        <v>46456</v>
      </c>
      <c r="J228" s="49">
        <v>1</v>
      </c>
      <c r="K228" s="49" t="s">
        <v>22</v>
      </c>
    </row>
    <row r="229" spans="1:11" hidden="1">
      <c r="A229" s="51" t="s">
        <v>295</v>
      </c>
      <c r="B229" s="49" t="s">
        <v>274</v>
      </c>
      <c r="C229" s="51" t="s">
        <v>297</v>
      </c>
      <c r="D229" s="51" t="s">
        <v>50</v>
      </c>
      <c r="E229" s="51" t="s">
        <v>300</v>
      </c>
      <c r="F229" s="51" t="s">
        <v>281</v>
      </c>
      <c r="G229" s="52">
        <v>2</v>
      </c>
      <c r="H229" s="53">
        <f>WORKDAY(I228,1)</f>
        <v>46457</v>
      </c>
      <c r="I229" s="53">
        <f>WORKDAY(H229,J229)</f>
        <v>46461</v>
      </c>
      <c r="J229" s="49">
        <v>2</v>
      </c>
      <c r="K229" s="49" t="s">
        <v>22</v>
      </c>
    </row>
    <row r="230" spans="1:11" hidden="1">
      <c r="A230" s="51" t="s">
        <v>295</v>
      </c>
      <c r="B230" s="49" t="s">
        <v>274</v>
      </c>
      <c r="C230" s="51" t="s">
        <v>297</v>
      </c>
      <c r="D230" s="51" t="s">
        <v>50</v>
      </c>
      <c r="E230" s="51" t="s">
        <v>301</v>
      </c>
      <c r="F230" s="51" t="s">
        <v>86</v>
      </c>
      <c r="G230" s="52">
        <v>2</v>
      </c>
      <c r="H230" s="53">
        <f>WORKDAY(I228,1)</f>
        <v>46457</v>
      </c>
      <c r="I230" s="53">
        <f t="shared" si="33"/>
        <v>46461</v>
      </c>
      <c r="J230" s="49">
        <v>2</v>
      </c>
      <c r="K230" s="49" t="s">
        <v>22</v>
      </c>
    </row>
    <row r="231" spans="1:11" hidden="1">
      <c r="A231" s="51" t="s">
        <v>302</v>
      </c>
      <c r="B231" s="49" t="s">
        <v>274</v>
      </c>
      <c r="C231" s="51" t="s">
        <v>297</v>
      </c>
      <c r="D231" s="51" t="s">
        <v>278</v>
      </c>
      <c r="E231" s="51" t="s">
        <v>303</v>
      </c>
      <c r="F231" s="51" t="s">
        <v>86</v>
      </c>
      <c r="G231" s="52">
        <v>1</v>
      </c>
      <c r="H231" s="53">
        <f>WORKDAY(I230,1)</f>
        <v>46462</v>
      </c>
      <c r="I231" s="53">
        <f t="shared" si="33"/>
        <v>46463</v>
      </c>
      <c r="J231" s="49">
        <v>1</v>
      </c>
      <c r="K231" s="49" t="s">
        <v>22</v>
      </c>
    </row>
    <row r="232" spans="1:11">
      <c r="A232" s="51" t="s">
        <v>302</v>
      </c>
      <c r="B232" s="49" t="s">
        <v>274</v>
      </c>
      <c r="C232" s="51" t="s">
        <v>304</v>
      </c>
      <c r="D232" s="51" t="s">
        <v>46</v>
      </c>
      <c r="E232" s="51" t="s">
        <v>305</v>
      </c>
      <c r="F232" s="51" t="s">
        <v>276</v>
      </c>
      <c r="G232" s="52">
        <v>1</v>
      </c>
      <c r="H232" s="53">
        <f>WORKDAY(I228,1)</f>
        <v>46457</v>
      </c>
      <c r="I232" s="53">
        <f t="shared" si="33"/>
        <v>46458</v>
      </c>
      <c r="J232" s="49">
        <v>1</v>
      </c>
      <c r="K232" s="49" t="s">
        <v>22</v>
      </c>
    </row>
    <row r="233" spans="1:11">
      <c r="A233" s="51" t="s">
        <v>302</v>
      </c>
      <c r="B233" s="49" t="s">
        <v>274</v>
      </c>
      <c r="C233" s="51" t="s">
        <v>304</v>
      </c>
      <c r="D233" s="51" t="s">
        <v>46</v>
      </c>
      <c r="E233" s="51" t="s">
        <v>306</v>
      </c>
      <c r="F233" s="51" t="s">
        <v>276</v>
      </c>
      <c r="G233" s="52">
        <v>1</v>
      </c>
      <c r="H233" s="53">
        <f>WORKDAY(I232,1)</f>
        <v>46461</v>
      </c>
      <c r="I233" s="53">
        <f t="shared" si="33"/>
        <v>46462</v>
      </c>
      <c r="J233" s="49">
        <v>1</v>
      </c>
      <c r="K233" s="49" t="s">
        <v>22</v>
      </c>
    </row>
    <row r="234" spans="1:11" hidden="1">
      <c r="A234" s="51" t="s">
        <v>302</v>
      </c>
      <c r="B234" s="49" t="s">
        <v>274</v>
      </c>
      <c r="C234" s="51" t="s">
        <v>304</v>
      </c>
      <c r="D234" s="51" t="s">
        <v>50</v>
      </c>
      <c r="E234" s="51" t="s">
        <v>307</v>
      </c>
      <c r="F234" s="51" t="s">
        <v>281</v>
      </c>
      <c r="G234" s="52">
        <v>1</v>
      </c>
      <c r="H234" s="53">
        <f>WORKDAY(I233,1)</f>
        <v>46463</v>
      </c>
      <c r="I234" s="53">
        <f t="shared" si="33"/>
        <v>46464</v>
      </c>
      <c r="J234" s="49">
        <v>1</v>
      </c>
      <c r="K234" s="49" t="s">
        <v>22</v>
      </c>
    </row>
    <row r="235" spans="1:11" hidden="1">
      <c r="A235" s="51" t="s">
        <v>302</v>
      </c>
      <c r="B235" s="49" t="s">
        <v>274</v>
      </c>
      <c r="C235" s="51" t="s">
        <v>304</v>
      </c>
      <c r="D235" s="51" t="s">
        <v>50</v>
      </c>
      <c r="E235" s="51" t="s">
        <v>308</v>
      </c>
      <c r="F235" s="51" t="s">
        <v>86</v>
      </c>
      <c r="G235" s="52">
        <v>1</v>
      </c>
      <c r="H235" s="53">
        <f>WORKDAY(I231,1)</f>
        <v>46464</v>
      </c>
      <c r="I235" s="53">
        <f t="shared" si="33"/>
        <v>46465</v>
      </c>
      <c r="J235" s="49">
        <v>1</v>
      </c>
      <c r="K235" s="49" t="s">
        <v>22</v>
      </c>
    </row>
    <row r="236" spans="1:11" hidden="1">
      <c r="A236" s="51" t="s">
        <v>302</v>
      </c>
      <c r="B236" s="49" t="s">
        <v>274</v>
      </c>
      <c r="C236" s="51" t="s">
        <v>304</v>
      </c>
      <c r="D236" s="51" t="s">
        <v>278</v>
      </c>
      <c r="E236" s="51" t="s">
        <v>309</v>
      </c>
      <c r="F236" s="51" t="s">
        <v>86</v>
      </c>
      <c r="G236" s="52">
        <v>1</v>
      </c>
      <c r="H236" s="53">
        <f>WORKDAY(I235,1)</f>
        <v>46468</v>
      </c>
      <c r="I236" s="53">
        <f>WORKDAY(H236,J236)</f>
        <v>46469</v>
      </c>
      <c r="J236" s="49">
        <v>1</v>
      </c>
      <c r="K236" s="49" t="s">
        <v>22</v>
      </c>
    </row>
    <row r="237" spans="1:11" hidden="1">
      <c r="A237" s="51" t="s">
        <v>302</v>
      </c>
      <c r="B237" s="49" t="s">
        <v>274</v>
      </c>
      <c r="C237" s="51" t="s">
        <v>310</v>
      </c>
      <c r="D237" s="51" t="s">
        <v>46</v>
      </c>
      <c r="E237" s="51" t="s">
        <v>311</v>
      </c>
      <c r="F237" s="51" t="s">
        <v>18</v>
      </c>
      <c r="G237" s="52">
        <v>1</v>
      </c>
      <c r="H237" s="53">
        <f>WORKDAY(I226,1)</f>
        <v>46461</v>
      </c>
      <c r="I237" s="53">
        <f t="shared" si="33"/>
        <v>46462</v>
      </c>
      <c r="J237" s="49">
        <v>1</v>
      </c>
      <c r="K237" s="49" t="s">
        <v>22</v>
      </c>
    </row>
    <row r="238" spans="1:11" hidden="1">
      <c r="A238" s="51" t="s">
        <v>302</v>
      </c>
      <c r="B238" s="49" t="s">
        <v>274</v>
      </c>
      <c r="C238" s="51" t="s">
        <v>310</v>
      </c>
      <c r="D238" s="51" t="s">
        <v>46</v>
      </c>
      <c r="E238" s="51" t="s">
        <v>312</v>
      </c>
      <c r="F238" s="51" t="s">
        <v>18</v>
      </c>
      <c r="G238" s="52">
        <v>1</v>
      </c>
      <c r="H238" s="53">
        <f>WORKDAY(I237,1)</f>
        <v>46463</v>
      </c>
      <c r="I238" s="53">
        <f t="shared" si="33"/>
        <v>46464</v>
      </c>
      <c r="J238" s="49">
        <v>1</v>
      </c>
      <c r="K238" s="49" t="s">
        <v>22</v>
      </c>
    </row>
    <row r="239" spans="1:11" hidden="1">
      <c r="A239" s="51" t="s">
        <v>302</v>
      </c>
      <c r="B239" s="49" t="s">
        <v>274</v>
      </c>
      <c r="C239" s="51" t="s">
        <v>310</v>
      </c>
      <c r="D239" s="51" t="s">
        <v>50</v>
      </c>
      <c r="E239" s="51" t="s">
        <v>313</v>
      </c>
      <c r="F239" s="51" t="s">
        <v>281</v>
      </c>
      <c r="G239" s="52">
        <v>1</v>
      </c>
      <c r="H239" s="53">
        <f>WORKDAY(I238,1)</f>
        <v>46465</v>
      </c>
      <c r="I239" s="53">
        <f t="shared" si="33"/>
        <v>46468</v>
      </c>
      <c r="J239" s="49">
        <v>1</v>
      </c>
      <c r="K239" s="49" t="s">
        <v>22</v>
      </c>
    </row>
    <row r="240" spans="1:11" hidden="1">
      <c r="A240" s="51" t="s">
        <v>314</v>
      </c>
      <c r="B240" s="49" t="s">
        <v>274</v>
      </c>
      <c r="C240" s="51" t="s">
        <v>310</v>
      </c>
      <c r="D240" s="51" t="s">
        <v>50</v>
      </c>
      <c r="E240" s="51" t="s">
        <v>315</v>
      </c>
      <c r="F240" s="51" t="s">
        <v>86</v>
      </c>
      <c r="G240" s="52">
        <v>1</v>
      </c>
      <c r="H240" s="53">
        <f>WORKDAY(I238,1)</f>
        <v>46465</v>
      </c>
      <c r="I240" s="53">
        <f t="shared" si="33"/>
        <v>46468</v>
      </c>
      <c r="J240" s="49">
        <v>1</v>
      </c>
      <c r="K240" s="49" t="s">
        <v>22</v>
      </c>
    </row>
    <row r="241" spans="1:11" hidden="1">
      <c r="A241" s="51" t="s">
        <v>314</v>
      </c>
      <c r="B241" s="49" t="s">
        <v>274</v>
      </c>
      <c r="C241" s="51" t="s">
        <v>310</v>
      </c>
      <c r="D241" s="51" t="s">
        <v>278</v>
      </c>
      <c r="E241" s="51" t="s">
        <v>316</v>
      </c>
      <c r="F241" s="51" t="s">
        <v>86</v>
      </c>
      <c r="G241" s="52">
        <v>1</v>
      </c>
      <c r="H241" s="53">
        <f>WORKDAY(I240,1)</f>
        <v>46469</v>
      </c>
      <c r="I241" s="53">
        <f t="shared" si="33"/>
        <v>46470</v>
      </c>
      <c r="J241" s="49">
        <v>1</v>
      </c>
      <c r="K241" s="49" t="s">
        <v>22</v>
      </c>
    </row>
    <row r="242" spans="1:11">
      <c r="A242" s="51" t="s">
        <v>314</v>
      </c>
      <c r="B242" s="49" t="s">
        <v>274</v>
      </c>
      <c r="C242" s="51" t="s">
        <v>317</v>
      </c>
      <c r="D242" s="51" t="s">
        <v>46</v>
      </c>
      <c r="E242" s="51" t="s">
        <v>318</v>
      </c>
      <c r="F242" s="51" t="s">
        <v>276</v>
      </c>
      <c r="G242" s="52">
        <v>1</v>
      </c>
      <c r="H242" s="53">
        <f>WORKDAY(I233,1)</f>
        <v>46463</v>
      </c>
      <c r="I242" s="53">
        <f t="shared" si="33"/>
        <v>46464</v>
      </c>
      <c r="J242" s="49">
        <v>1</v>
      </c>
      <c r="K242" s="49" t="s">
        <v>22</v>
      </c>
    </row>
    <row r="243" spans="1:11">
      <c r="A243" s="51" t="s">
        <v>314</v>
      </c>
      <c r="B243" s="49" t="s">
        <v>274</v>
      </c>
      <c r="C243" s="51" t="s">
        <v>317</v>
      </c>
      <c r="D243" s="51" t="s">
        <v>46</v>
      </c>
      <c r="E243" s="51" t="s">
        <v>319</v>
      </c>
      <c r="F243" s="51" t="s">
        <v>276</v>
      </c>
      <c r="G243" s="52">
        <v>1</v>
      </c>
      <c r="H243" s="53">
        <f>WORKDAY(I242,1)</f>
        <v>46465</v>
      </c>
      <c r="I243" s="53">
        <f t="shared" si="33"/>
        <v>46468</v>
      </c>
      <c r="J243" s="49">
        <v>1</v>
      </c>
      <c r="K243" s="49" t="s">
        <v>22</v>
      </c>
    </row>
    <row r="244" spans="1:11" hidden="1">
      <c r="A244" s="51" t="s">
        <v>314</v>
      </c>
      <c r="B244" s="49" t="s">
        <v>274</v>
      </c>
      <c r="C244" s="51" t="s">
        <v>317</v>
      </c>
      <c r="D244" s="51" t="s">
        <v>50</v>
      </c>
      <c r="E244" s="51" t="s">
        <v>320</v>
      </c>
      <c r="F244" s="51" t="s">
        <v>281</v>
      </c>
      <c r="G244" s="52">
        <v>2</v>
      </c>
      <c r="H244" s="53">
        <f>WORKDAY(I243,1)</f>
        <v>46469</v>
      </c>
      <c r="I244" s="53">
        <f t="shared" si="33"/>
        <v>46471</v>
      </c>
      <c r="J244" s="49">
        <v>2</v>
      </c>
      <c r="K244" s="49" t="s">
        <v>22</v>
      </c>
    </row>
    <row r="245" spans="1:11" hidden="1">
      <c r="A245" s="51" t="s">
        <v>314</v>
      </c>
      <c r="B245" s="49" t="s">
        <v>274</v>
      </c>
      <c r="C245" s="51" t="s">
        <v>317</v>
      </c>
      <c r="D245" s="51" t="s">
        <v>50</v>
      </c>
      <c r="E245" s="51" t="s">
        <v>321</v>
      </c>
      <c r="F245" s="51" t="s">
        <v>18</v>
      </c>
      <c r="G245" s="52">
        <v>3</v>
      </c>
      <c r="H245" s="53">
        <f>WORKDAY(I243,1)</f>
        <v>46469</v>
      </c>
      <c r="I245" s="53">
        <f t="shared" si="33"/>
        <v>46472</v>
      </c>
      <c r="J245" s="49">
        <v>3</v>
      </c>
      <c r="K245" s="49" t="s">
        <v>22</v>
      </c>
    </row>
    <row r="246" spans="1:11" hidden="1">
      <c r="A246" s="51" t="s">
        <v>314</v>
      </c>
      <c r="B246" s="49" t="s">
        <v>274</v>
      </c>
      <c r="C246" s="51" t="s">
        <v>317</v>
      </c>
      <c r="D246" s="51" t="s">
        <v>278</v>
      </c>
      <c r="E246" s="51" t="s">
        <v>322</v>
      </c>
      <c r="F246" s="51" t="s">
        <v>18</v>
      </c>
      <c r="G246" s="52">
        <v>1</v>
      </c>
      <c r="H246" s="53">
        <f>WORKDAY(I245,1)</f>
        <v>46475</v>
      </c>
      <c r="I246" s="101">
        <f t="shared" si="33"/>
        <v>46476</v>
      </c>
      <c r="J246" s="49">
        <v>1</v>
      </c>
      <c r="K246" s="49" t="s">
        <v>22</v>
      </c>
    </row>
    <row r="247" spans="1:11" hidden="1">
      <c r="A247" s="51" t="s">
        <v>323</v>
      </c>
      <c r="B247" s="49" t="s">
        <v>274</v>
      </c>
      <c r="C247" s="77" t="s">
        <v>324</v>
      </c>
      <c r="D247" s="51" t="s">
        <v>325</v>
      </c>
      <c r="F247" s="51" t="s">
        <v>86</v>
      </c>
      <c r="G247" s="52"/>
      <c r="H247" s="53">
        <f>WORKDAY(I246,1)</f>
        <v>46477</v>
      </c>
      <c r="I247" s="101">
        <v>46507</v>
      </c>
      <c r="K247" s="102" t="s">
        <v>22</v>
      </c>
    </row>
  </sheetData>
  <autoFilter ref="A11:N247" xr:uid="{34BB96A7-53BD-4507-B62C-6AD24A499E83}">
    <filterColumn colId="1">
      <filters>
        <filter val="Dividend Distribution"/>
        <filter val="Mandate"/>
      </filters>
    </filterColumn>
    <filterColumn colId="5">
      <filters>
        <filter val="BA"/>
        <filter val="QA"/>
      </filters>
    </filterColumn>
  </autoFilter>
  <mergeCells count="4">
    <mergeCell ref="C1:K1"/>
    <mergeCell ref="I3:I4"/>
    <mergeCell ref="I5:I6"/>
    <mergeCell ref="D7:F7"/>
  </mergeCells>
  <phoneticPr fontId="1" type="noConversion"/>
  <dataValidations count="1">
    <dataValidation type="list" allowBlank="1" showInputMessage="1" showErrorMessage="1" sqref="K12:K216 K247" xr:uid="{A245DE63-8638-4809-9517-9105EFED3A9C}">
      <formula1>"Not Started,In progress,Completed"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33AC-0368-4726-B3B2-A33BEF05A7DD}">
  <sheetPr filterMode="1"/>
  <dimension ref="A1:U216"/>
  <sheetViews>
    <sheetView zoomScaleNormal="100" workbookViewId="0">
      <pane ySplit="10" topLeftCell="A11" activePane="bottomLeft" state="frozen"/>
      <selection pane="bottomLeft" activeCell="C195" sqref="C195"/>
    </sheetView>
  </sheetViews>
  <sheetFormatPr defaultColWidth="8.7109375" defaultRowHeight="15"/>
  <cols>
    <col min="1" max="1" width="12.85546875" style="49" customWidth="1"/>
    <col min="2" max="2" width="11.140625" style="49" customWidth="1"/>
    <col min="3" max="3" width="54.28515625" style="49" customWidth="1"/>
    <col min="4" max="4" width="15.28515625" style="49" customWidth="1"/>
    <col min="5" max="5" width="68.28515625" style="49" customWidth="1"/>
    <col min="6" max="6" width="16.5703125" style="113" customWidth="1"/>
    <col min="7" max="7" width="13.42578125" style="49" customWidth="1"/>
    <col min="8" max="8" width="12.85546875" style="49" customWidth="1"/>
    <col min="9" max="9" width="12" style="49" customWidth="1"/>
    <col min="10" max="10" width="13.42578125" style="49" customWidth="1"/>
    <col min="11" max="11" width="9.28515625" style="49" bestFit="1" customWidth="1"/>
    <col min="12" max="12" width="10.42578125" style="49" bestFit="1" customWidth="1"/>
    <col min="13" max="13" width="9.140625" style="49" bestFit="1" customWidth="1"/>
    <col min="14" max="14" width="13.42578125" style="49" bestFit="1" customWidth="1"/>
    <col min="15" max="15" width="11.28515625" style="49" customWidth="1"/>
    <col min="16" max="16" width="15.28515625" style="49" customWidth="1"/>
    <col min="17" max="17" width="20.7109375" style="49" customWidth="1"/>
    <col min="18" max="19" width="8.7109375" style="49"/>
    <col min="20" max="20" width="14.42578125" style="49" customWidth="1"/>
    <col min="21" max="21" width="12.85546875" style="49" customWidth="1"/>
    <col min="22" max="16384" width="8.7109375" style="49"/>
  </cols>
  <sheetData>
    <row r="1" spans="1:21" s="46" customFormat="1" ht="24" customHeight="1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  <c r="L1" s="119"/>
    </row>
    <row r="2" spans="1:21" s="46" customFormat="1" ht="5.25" customHeight="1" thickBot="1">
      <c r="B2" s="64"/>
      <c r="C2" s="65"/>
      <c r="D2" s="65"/>
      <c r="E2" s="65"/>
      <c r="F2" s="111"/>
      <c r="G2" s="65"/>
      <c r="H2" s="65"/>
      <c r="I2" s="65"/>
      <c r="J2" s="65"/>
      <c r="K2" s="65"/>
      <c r="L2" s="65"/>
      <c r="M2" s="66"/>
      <c r="N2" s="66"/>
      <c r="O2" s="66"/>
      <c r="P2" s="66"/>
    </row>
    <row r="3" spans="1:21" s="46" customFormat="1" ht="14.45" customHeight="1">
      <c r="B3" s="67" t="s">
        <v>6</v>
      </c>
      <c r="C3" s="68">
        <f>COUNTA(E17:E1048576)</f>
        <v>199</v>
      </c>
      <c r="D3" s="68"/>
      <c r="E3" s="45"/>
      <c r="F3" s="45"/>
      <c r="G3" s="69" t="s">
        <v>7</v>
      </c>
      <c r="H3" s="70">
        <f>H5-H4+1</f>
        <v>593</v>
      </c>
      <c r="I3" s="45"/>
      <c r="J3" s="120" t="s">
        <v>8</v>
      </c>
      <c r="K3" s="45"/>
    </row>
    <row r="4" spans="1:21" s="46" customFormat="1" ht="14.45" customHeight="1">
      <c r="B4" s="71" t="s">
        <v>9</v>
      </c>
      <c r="C4" s="72">
        <f>COUNTIF(L17:L1048576,B4)</f>
        <v>0</v>
      </c>
      <c r="D4" s="72"/>
      <c r="E4" s="45"/>
      <c r="F4" s="45"/>
      <c r="G4" s="73" t="s">
        <v>10</v>
      </c>
      <c r="H4" s="74">
        <f>MIN(I11:I1048576)</f>
        <v>45915</v>
      </c>
      <c r="I4" s="45"/>
      <c r="J4" s="121"/>
      <c r="K4" s="45"/>
      <c r="L4" s="89">
        <f>SUM(H11:H16)</f>
        <v>24</v>
      </c>
      <c r="N4" s="60" t="s">
        <v>11</v>
      </c>
      <c r="O4" s="50" t="s">
        <v>12</v>
      </c>
      <c r="P4" s="46" t="s">
        <v>13</v>
      </c>
      <c r="T4" s="106" t="s">
        <v>14</v>
      </c>
      <c r="U4" s="106" t="s">
        <v>15</v>
      </c>
    </row>
    <row r="5" spans="1:21" s="46" customFormat="1" ht="14.45" customHeight="1">
      <c r="B5" s="71" t="s">
        <v>16</v>
      </c>
      <c r="C5" s="72">
        <f>COUNTIF(L17:L1048576,B5)</f>
        <v>9</v>
      </c>
      <c r="D5" s="72"/>
      <c r="E5" s="45"/>
      <c r="F5" s="45"/>
      <c r="G5" s="73" t="s">
        <v>17</v>
      </c>
      <c r="H5" s="74">
        <f>MAX(J11:J1048576)</f>
        <v>46507</v>
      </c>
      <c r="I5" s="45"/>
      <c r="J5" s="122"/>
      <c r="K5" s="45"/>
      <c r="L5" s="89">
        <f>SUM(H11:H215)</f>
        <v>425</v>
      </c>
      <c r="N5" s="56" t="s">
        <v>18</v>
      </c>
      <c r="O5" s="57">
        <v>1</v>
      </c>
      <c r="Q5" s="46" t="s">
        <v>19</v>
      </c>
      <c r="T5" s="103" t="s">
        <v>20</v>
      </c>
      <c r="U5" s="104" t="s">
        <v>21</v>
      </c>
    </row>
    <row r="6" spans="1:21" s="46" customFormat="1" ht="14.45" customHeight="1">
      <c r="B6" s="71" t="s">
        <v>22</v>
      </c>
      <c r="C6" s="72">
        <f>COUNTIF(L17:L1048576,B6)</f>
        <v>191</v>
      </c>
      <c r="D6" s="72"/>
      <c r="E6" s="45"/>
      <c r="F6" s="45"/>
      <c r="G6" s="73"/>
      <c r="H6" s="75"/>
      <c r="I6" s="45"/>
      <c r="J6" s="122"/>
      <c r="K6" s="45"/>
      <c r="N6" s="94" t="s">
        <v>23</v>
      </c>
      <c r="O6" s="57">
        <v>1</v>
      </c>
      <c r="P6" s="99">
        <f>145000*1.05</f>
        <v>152250</v>
      </c>
      <c r="Q6" s="99">
        <f>P6*12</f>
        <v>1827000</v>
      </c>
      <c r="T6" s="103" t="s">
        <v>24</v>
      </c>
      <c r="U6" s="105" t="s">
        <v>25</v>
      </c>
    </row>
    <row r="7" spans="1:21" s="46" customFormat="1" ht="14.45" customHeight="1">
      <c r="B7" s="44"/>
      <c r="C7" s="44"/>
      <c r="D7" s="123" t="s">
        <v>26</v>
      </c>
      <c r="E7" s="124"/>
      <c r="F7" s="124"/>
      <c r="G7" s="123"/>
      <c r="H7" s="100" t="s">
        <v>27</v>
      </c>
      <c r="I7" s="45"/>
      <c r="J7" s="76">
        <f>1-J5</f>
        <v>1</v>
      </c>
      <c r="K7" s="45"/>
      <c r="L7" s="90"/>
      <c r="N7" s="96" t="s">
        <v>28</v>
      </c>
      <c r="O7" s="57">
        <v>1</v>
      </c>
      <c r="Q7" s="46" t="s">
        <v>29</v>
      </c>
      <c r="T7" s="103" t="s">
        <v>30</v>
      </c>
      <c r="U7" s="104" t="s">
        <v>31</v>
      </c>
    </row>
    <row r="8" spans="1:21" s="46" customFormat="1">
      <c r="B8" s="44"/>
      <c r="C8" s="44"/>
      <c r="D8" s="44"/>
      <c r="E8" s="45"/>
      <c r="F8" s="45"/>
      <c r="G8" s="45"/>
      <c r="H8" s="45"/>
      <c r="I8" s="45"/>
      <c r="J8" s="76"/>
      <c r="K8" s="45"/>
      <c r="L8" s="90"/>
      <c r="N8" s="94" t="s">
        <v>32</v>
      </c>
      <c r="O8" s="57">
        <v>1</v>
      </c>
      <c r="P8" s="99">
        <f>145000*1.05</f>
        <v>152250</v>
      </c>
      <c r="Q8" s="99">
        <f>P8*12</f>
        <v>1827000</v>
      </c>
      <c r="T8" s="45"/>
    </row>
    <row r="9" spans="1:21" s="46" customFormat="1" hidden="1">
      <c r="B9" s="44"/>
      <c r="C9" s="44"/>
      <c r="D9" s="44"/>
      <c r="E9" s="45"/>
      <c r="F9" s="45"/>
      <c r="G9" s="45"/>
      <c r="H9" s="45"/>
      <c r="I9" s="45"/>
      <c r="J9" s="76"/>
      <c r="K9" s="45"/>
      <c r="L9" s="90"/>
      <c r="N9" s="56" t="s">
        <v>33</v>
      </c>
      <c r="O9" s="57">
        <v>0.5</v>
      </c>
      <c r="T9" s="45"/>
    </row>
    <row r="10" spans="1:21" ht="25.5">
      <c r="A10" s="47" t="s">
        <v>34</v>
      </c>
      <c r="B10" s="47" t="s">
        <v>35</v>
      </c>
      <c r="C10" s="47" t="s">
        <v>36</v>
      </c>
      <c r="D10" s="47" t="s">
        <v>37</v>
      </c>
      <c r="E10" s="47" t="s">
        <v>38</v>
      </c>
      <c r="F10" s="112" t="s">
        <v>39</v>
      </c>
      <c r="G10" s="47" t="s">
        <v>40</v>
      </c>
      <c r="H10" s="59" t="s">
        <v>41</v>
      </c>
      <c r="I10" s="48" t="s">
        <v>10</v>
      </c>
      <c r="J10" s="48" t="s">
        <v>17</v>
      </c>
      <c r="K10" s="48" t="s">
        <v>7</v>
      </c>
      <c r="L10" s="48" t="s">
        <v>42</v>
      </c>
    </row>
    <row r="11" spans="1:21">
      <c r="A11" s="51" t="s">
        <v>273</v>
      </c>
      <c r="B11" s="49" t="s">
        <v>274</v>
      </c>
      <c r="C11" s="51" t="s">
        <v>275</v>
      </c>
      <c r="D11" s="51" t="s">
        <v>46</v>
      </c>
      <c r="E11" s="51" t="s">
        <v>83</v>
      </c>
      <c r="F11" s="45" t="str" cm="1">
        <f t="array" ref="F11">_xlfn.IFS(H11="","", H11&lt;=2,"Low", H11&lt;=5,"Mid", H11&lt;=8,"High", TRUE,"Out of Range")</f>
        <v>Mid</v>
      </c>
      <c r="G11" s="51" t="s">
        <v>57</v>
      </c>
      <c r="H11" s="52">
        <v>3</v>
      </c>
      <c r="I11" s="53">
        <v>45915</v>
      </c>
      <c r="J11" s="53">
        <f t="shared" ref="J11:J36" si="0">WORKDAY(I11,K11)</f>
        <v>45918</v>
      </c>
      <c r="K11" s="54">
        <f t="shared" ref="K11:K16" si="1">H11/$O$5</f>
        <v>3</v>
      </c>
      <c r="L11" s="102" t="s">
        <v>9</v>
      </c>
    </row>
    <row r="12" spans="1:21">
      <c r="A12" s="51" t="s">
        <v>273</v>
      </c>
      <c r="B12" s="49" t="s">
        <v>274</v>
      </c>
      <c r="C12" s="51" t="s">
        <v>45</v>
      </c>
      <c r="D12" s="51" t="s">
        <v>46</v>
      </c>
      <c r="E12" s="51" t="s">
        <v>277</v>
      </c>
      <c r="F12" s="45" t="str" cm="1">
        <f t="array" ref="F12">_xlfn.IFS(H12="","", H12&lt;=2,"Low", H12&lt;=5,"Mid", H12&lt;=8,"High", TRUE,"Out of Range")</f>
        <v>Mid</v>
      </c>
      <c r="G12" s="51" t="s">
        <v>57</v>
      </c>
      <c r="H12" s="52">
        <v>3</v>
      </c>
      <c r="I12" s="53">
        <f>WORKDAY(J11,1)</f>
        <v>45919</v>
      </c>
      <c r="J12" s="53">
        <f t="shared" si="0"/>
        <v>45924</v>
      </c>
      <c r="K12" s="54">
        <f t="shared" si="1"/>
        <v>3</v>
      </c>
      <c r="L12" s="102" t="s">
        <v>9</v>
      </c>
    </row>
    <row r="13" spans="1:21">
      <c r="A13" s="51" t="s">
        <v>273</v>
      </c>
      <c r="B13" s="49" t="s">
        <v>274</v>
      </c>
      <c r="C13" s="51" t="s">
        <v>45</v>
      </c>
      <c r="D13" s="51" t="s">
        <v>50</v>
      </c>
      <c r="E13" s="51" t="s">
        <v>51</v>
      </c>
      <c r="F13" s="45" t="str" cm="1">
        <f t="array" ref="F13">_xlfn.IFS(H13="","", H13&lt;=2,"Low", H13&lt;=5,"Mid", H13&lt;=8,"High", TRUE,"Out of Range")</f>
        <v>Mid</v>
      </c>
      <c r="G13" s="51" t="s">
        <v>18</v>
      </c>
      <c r="H13" s="52">
        <v>5</v>
      </c>
      <c r="I13" s="53">
        <f>WORKDAY(J12,1)</f>
        <v>45925</v>
      </c>
      <c r="J13" s="53">
        <f t="shared" si="0"/>
        <v>45932</v>
      </c>
      <c r="K13" s="54">
        <f t="shared" si="1"/>
        <v>5</v>
      </c>
      <c r="L13" s="102" t="s">
        <v>9</v>
      </c>
    </row>
    <row r="14" spans="1:21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52</v>
      </c>
      <c r="F14" s="45" t="str" cm="1">
        <f t="array" ref="F14">_xlfn.IFS(H14="","", H14&lt;=2,"Low", H14&lt;=5,"Mid", H14&lt;=8,"High", TRUE,"Out of Range")</f>
        <v>Mid</v>
      </c>
      <c r="G14" s="51" t="s">
        <v>18</v>
      </c>
      <c r="H14" s="52">
        <v>5</v>
      </c>
      <c r="I14" s="53">
        <f>WORKDAY(J13,1)</f>
        <v>45933</v>
      </c>
      <c r="J14" s="53">
        <f t="shared" si="0"/>
        <v>45940</v>
      </c>
      <c r="K14" s="54">
        <f t="shared" si="1"/>
        <v>5</v>
      </c>
      <c r="L14" s="102" t="s">
        <v>9</v>
      </c>
    </row>
    <row r="15" spans="1:21">
      <c r="A15" s="51" t="s">
        <v>273</v>
      </c>
      <c r="B15" s="49" t="s">
        <v>274</v>
      </c>
      <c r="C15" s="51" t="s">
        <v>45</v>
      </c>
      <c r="D15" s="51" t="s">
        <v>50</v>
      </c>
      <c r="E15" s="51" t="s">
        <v>54</v>
      </c>
      <c r="F15" s="45" t="str" cm="1">
        <f t="array" ref="F15">_xlfn.IFS(H15="","", H15&lt;=2,"Low", H15&lt;=5,"Mid", H15&lt;=8,"High", TRUE,"Out of Range")</f>
        <v>Mid</v>
      </c>
      <c r="G15" s="51" t="s">
        <v>18</v>
      </c>
      <c r="H15" s="52">
        <v>5</v>
      </c>
      <c r="I15" s="53">
        <f>WORKDAY(J14,1)</f>
        <v>45943</v>
      </c>
      <c r="J15" s="53">
        <f t="shared" si="0"/>
        <v>45950</v>
      </c>
      <c r="K15" s="54">
        <f t="shared" si="1"/>
        <v>5</v>
      </c>
      <c r="L15" s="102" t="s">
        <v>9</v>
      </c>
    </row>
    <row r="16" spans="1:21">
      <c r="A16" s="51" t="s">
        <v>273</v>
      </c>
      <c r="B16" s="49" t="s">
        <v>274</v>
      </c>
      <c r="C16" s="51" t="s">
        <v>45</v>
      </c>
      <c r="D16" s="51" t="s">
        <v>55</v>
      </c>
      <c r="E16" s="51" t="s">
        <v>56</v>
      </c>
      <c r="F16" s="45" t="str" cm="1">
        <f t="array" ref="F16">_xlfn.IFS(H16="","", H16&lt;=2,"Low", H16&lt;=5,"Mid", H16&lt;=8,"High", TRUE,"Out of Range")</f>
        <v>Mid</v>
      </c>
      <c r="G16" s="51" t="s">
        <v>57</v>
      </c>
      <c r="H16" s="52">
        <v>3</v>
      </c>
      <c r="I16" s="53">
        <f>WORKDAY(J15,1)</f>
        <v>45951</v>
      </c>
      <c r="J16" s="53">
        <f t="shared" si="0"/>
        <v>45954</v>
      </c>
      <c r="K16" s="54">
        <f t="shared" si="1"/>
        <v>3</v>
      </c>
      <c r="L16" s="102" t="s">
        <v>9</v>
      </c>
    </row>
    <row r="17" spans="1:12" hidden="1">
      <c r="A17" s="51" t="s">
        <v>43</v>
      </c>
      <c r="B17" s="81" t="s">
        <v>44</v>
      </c>
      <c r="C17" s="51" t="s">
        <v>45</v>
      </c>
      <c r="D17" s="51" t="s">
        <v>46</v>
      </c>
      <c r="E17" s="51" t="s">
        <v>47</v>
      </c>
      <c r="F17" s="45" t="s">
        <v>24</v>
      </c>
      <c r="G17" s="51" t="s">
        <v>48</v>
      </c>
      <c r="H17" s="52">
        <v>3</v>
      </c>
      <c r="I17" s="53">
        <v>45985</v>
      </c>
      <c r="J17" s="53">
        <f t="shared" si="0"/>
        <v>45993</v>
      </c>
      <c r="K17" s="54">
        <f>H17/$O$9</f>
        <v>6</v>
      </c>
      <c r="L17" s="102" t="s">
        <v>16</v>
      </c>
    </row>
    <row r="18" spans="1:12" hidden="1">
      <c r="A18" s="51" t="s">
        <v>43</v>
      </c>
      <c r="B18" s="81" t="s">
        <v>44</v>
      </c>
      <c r="C18" s="51" t="s">
        <v>45</v>
      </c>
      <c r="D18" s="51" t="s">
        <v>46</v>
      </c>
      <c r="E18" s="51" t="s">
        <v>49</v>
      </c>
      <c r="F18" s="45" t="s">
        <v>24</v>
      </c>
      <c r="G18" s="51" t="s">
        <v>48</v>
      </c>
      <c r="H18" s="52">
        <v>3</v>
      </c>
      <c r="I18" s="53">
        <f>WORKDAY(J17,1)</f>
        <v>45994</v>
      </c>
      <c r="J18" s="53">
        <f t="shared" si="0"/>
        <v>46002</v>
      </c>
      <c r="K18" s="54">
        <f>H18/$O$9</f>
        <v>6</v>
      </c>
      <c r="L18" s="102" t="s">
        <v>16</v>
      </c>
    </row>
    <row r="19" spans="1:12" hidden="1">
      <c r="A19" s="51" t="s">
        <v>43</v>
      </c>
      <c r="B19" s="81" t="s">
        <v>44</v>
      </c>
      <c r="C19" s="51" t="s">
        <v>45</v>
      </c>
      <c r="D19" s="51" t="s">
        <v>50</v>
      </c>
      <c r="E19" s="51" t="s">
        <v>51</v>
      </c>
      <c r="F19" s="45" t="s">
        <v>24</v>
      </c>
      <c r="G19" s="51" t="s">
        <v>18</v>
      </c>
      <c r="H19" s="52">
        <v>3</v>
      </c>
      <c r="I19" s="53">
        <f>WORKDAY(J18,1)</f>
        <v>46003</v>
      </c>
      <c r="J19" s="53">
        <f t="shared" si="0"/>
        <v>46008</v>
      </c>
      <c r="K19" s="54">
        <f>H19/$O$5</f>
        <v>3</v>
      </c>
      <c r="L19" s="102" t="s">
        <v>16</v>
      </c>
    </row>
    <row r="20" spans="1:12" hidden="1">
      <c r="A20" s="51" t="s">
        <v>43</v>
      </c>
      <c r="B20" s="81" t="s">
        <v>44</v>
      </c>
      <c r="C20" s="51" t="s">
        <v>45</v>
      </c>
      <c r="D20" s="51" t="s">
        <v>50</v>
      </c>
      <c r="E20" s="51" t="s">
        <v>52</v>
      </c>
      <c r="F20" s="45" t="s">
        <v>30</v>
      </c>
      <c r="G20" s="51" t="s">
        <v>18</v>
      </c>
      <c r="H20" s="52">
        <v>5</v>
      </c>
      <c r="I20" s="53">
        <f>WORKDAY(J19,1)</f>
        <v>46009</v>
      </c>
      <c r="J20" s="53">
        <f t="shared" si="0"/>
        <v>46016</v>
      </c>
      <c r="K20" s="54">
        <f>H20/$O$5</f>
        <v>5</v>
      </c>
      <c r="L20" s="102" t="s">
        <v>22</v>
      </c>
    </row>
    <row r="21" spans="1:12" hidden="1">
      <c r="A21" s="51" t="s">
        <v>53</v>
      </c>
      <c r="B21" s="81" t="s">
        <v>44</v>
      </c>
      <c r="C21" s="51" t="s">
        <v>45</v>
      </c>
      <c r="D21" s="51" t="s">
        <v>50</v>
      </c>
      <c r="E21" s="51" t="s">
        <v>54</v>
      </c>
      <c r="F21" s="45" t="s">
        <v>20</v>
      </c>
      <c r="G21" s="51" t="s">
        <v>18</v>
      </c>
      <c r="H21" s="52">
        <v>2</v>
      </c>
      <c r="I21" s="53">
        <f>WORKDAY(J20,1)</f>
        <v>46017</v>
      </c>
      <c r="J21" s="53">
        <f t="shared" si="0"/>
        <v>46021</v>
      </c>
      <c r="K21" s="54">
        <f>H21/$O$5</f>
        <v>2</v>
      </c>
      <c r="L21" s="102" t="s">
        <v>22</v>
      </c>
    </row>
    <row r="22" spans="1:12" hidden="1">
      <c r="A22" s="51" t="s">
        <v>53</v>
      </c>
      <c r="B22" s="81" t="s">
        <v>44</v>
      </c>
      <c r="C22" s="51" t="s">
        <v>45</v>
      </c>
      <c r="D22" s="51" t="s">
        <v>55</v>
      </c>
      <c r="E22" s="51" t="s">
        <v>56</v>
      </c>
      <c r="F22" s="45" t="s">
        <v>24</v>
      </c>
      <c r="G22" s="51" t="s">
        <v>57</v>
      </c>
      <c r="H22" s="52">
        <v>3</v>
      </c>
      <c r="I22" s="53">
        <f>WORKDAY(J21,1)</f>
        <v>46022</v>
      </c>
      <c r="J22" s="53">
        <f t="shared" si="0"/>
        <v>46027</v>
      </c>
      <c r="K22" s="54">
        <f>H22/$O$5</f>
        <v>3</v>
      </c>
      <c r="L22" s="102" t="s">
        <v>22</v>
      </c>
    </row>
    <row r="23" spans="1:12" hidden="1">
      <c r="A23" s="51" t="s">
        <v>53</v>
      </c>
      <c r="B23" s="81" t="s">
        <v>44</v>
      </c>
      <c r="C23" s="51" t="s">
        <v>58</v>
      </c>
      <c r="D23" s="51" t="s">
        <v>46</v>
      </c>
      <c r="E23" s="51" t="s">
        <v>59</v>
      </c>
      <c r="F23" s="45" t="str" cm="1">
        <f t="array" ref="F23">_xlfn.IFS(H23="","", H23&lt;=2,"Low", H23&lt;=5,"Mid", H23&lt;=8,"High", TRUE,"Out of Range")</f>
        <v>Low</v>
      </c>
      <c r="G23" s="51" t="s">
        <v>48</v>
      </c>
      <c r="H23" s="52">
        <v>1.5</v>
      </c>
      <c r="I23" s="53">
        <f>WORKDAY(J18,1)</f>
        <v>46003</v>
      </c>
      <c r="J23" s="53">
        <f t="shared" si="0"/>
        <v>46008</v>
      </c>
      <c r="K23" s="54">
        <f>H23/$O$9</f>
        <v>3</v>
      </c>
      <c r="L23" s="102" t="s">
        <v>16</v>
      </c>
    </row>
    <row r="24" spans="1:12" hidden="1">
      <c r="A24" s="51" t="s">
        <v>53</v>
      </c>
      <c r="B24" s="81" t="s">
        <v>44</v>
      </c>
      <c r="C24" s="51" t="s">
        <v>58</v>
      </c>
      <c r="D24" s="51" t="s">
        <v>46</v>
      </c>
      <c r="E24" s="51" t="s">
        <v>60</v>
      </c>
      <c r="F24" s="45" t="str" cm="1">
        <f t="array" ref="F24">_xlfn.IFS(H24="","", H24&lt;=2,"Low", H24&lt;=5,"Mid", H24&lt;=8,"High", TRUE,"Out of Range")</f>
        <v>Low</v>
      </c>
      <c r="G24" s="51" t="s">
        <v>48</v>
      </c>
      <c r="H24" s="52">
        <v>1.5</v>
      </c>
      <c r="I24" s="53">
        <f>WORKDAY(J23,1)</f>
        <v>46009</v>
      </c>
      <c r="J24" s="53">
        <f t="shared" si="0"/>
        <v>46014</v>
      </c>
      <c r="K24" s="54">
        <f>H24/$O$9</f>
        <v>3</v>
      </c>
      <c r="L24" s="102" t="s">
        <v>16</v>
      </c>
    </row>
    <row r="25" spans="1:12" hidden="1">
      <c r="A25" s="51" t="s">
        <v>53</v>
      </c>
      <c r="B25" s="81" t="s">
        <v>44</v>
      </c>
      <c r="C25" s="51" t="s">
        <v>58</v>
      </c>
      <c r="D25" s="51" t="s">
        <v>50</v>
      </c>
      <c r="E25" s="51" t="s">
        <v>61</v>
      </c>
      <c r="F25" s="45" t="str" cm="1">
        <f t="array" ref="F25">_xlfn.IFS(H25="","", H25&lt;=2,"Low", H25&lt;=5,"Mid", H25&lt;=8,"High", TRUE,"Out of Range")</f>
        <v>Low</v>
      </c>
      <c r="G25" s="51" t="s">
        <v>62</v>
      </c>
      <c r="H25" s="52">
        <v>1</v>
      </c>
      <c r="I25" s="53">
        <f>WORKDAY(J24,1)</f>
        <v>46015</v>
      </c>
      <c r="J25" s="53">
        <f t="shared" si="0"/>
        <v>46016</v>
      </c>
      <c r="K25" s="54">
        <f>H25/$O$5</f>
        <v>1</v>
      </c>
      <c r="L25" s="102" t="s">
        <v>22</v>
      </c>
    </row>
    <row r="26" spans="1:12" hidden="1">
      <c r="A26" s="51" t="s">
        <v>63</v>
      </c>
      <c r="B26" s="81" t="s">
        <v>64</v>
      </c>
      <c r="C26" s="51" t="s">
        <v>58</v>
      </c>
      <c r="D26" s="51" t="s">
        <v>50</v>
      </c>
      <c r="E26" s="51" t="s">
        <v>65</v>
      </c>
      <c r="F26" s="45" t="str" cm="1">
        <f t="array" ref="F26">_xlfn.IFS(H26="","", H26&lt;=2,"Low", H26&lt;=5,"Mid", H26&lt;=8,"High", TRUE,"Out of Range")</f>
        <v>High</v>
      </c>
      <c r="G26" s="51" t="s">
        <v>18</v>
      </c>
      <c r="H26" s="52">
        <v>7</v>
      </c>
      <c r="I26" s="53">
        <f>WORKDAY(J21,1)</f>
        <v>46022</v>
      </c>
      <c r="J26" s="53">
        <f t="shared" si="0"/>
        <v>46031</v>
      </c>
      <c r="K26" s="54">
        <f>H26/$O$5</f>
        <v>7</v>
      </c>
      <c r="L26" s="102" t="s">
        <v>22</v>
      </c>
    </row>
    <row r="27" spans="1:12" hidden="1">
      <c r="A27" s="51" t="s">
        <v>63</v>
      </c>
      <c r="B27" s="81" t="s">
        <v>44</v>
      </c>
      <c r="C27" s="51" t="s">
        <v>58</v>
      </c>
      <c r="D27" s="51" t="s">
        <v>55</v>
      </c>
      <c r="E27" s="51" t="s">
        <v>66</v>
      </c>
      <c r="F27" s="45" t="str" cm="1">
        <f t="array" ref="F27">_xlfn.IFS(H27="","", H27&lt;=2,"Low", H27&lt;=5,"Mid", H27&lt;=8,"High", TRUE,"Out of Range")</f>
        <v>Mid</v>
      </c>
      <c r="G27" s="51" t="s">
        <v>57</v>
      </c>
      <c r="H27" s="52">
        <v>3</v>
      </c>
      <c r="I27" s="53">
        <f>WORKDAY(J26,1)</f>
        <v>46034</v>
      </c>
      <c r="J27" s="53">
        <f t="shared" si="0"/>
        <v>46037</v>
      </c>
      <c r="K27" s="54">
        <f>H27/$O$5</f>
        <v>3</v>
      </c>
      <c r="L27" s="102" t="s">
        <v>22</v>
      </c>
    </row>
    <row r="28" spans="1:12" hidden="1">
      <c r="A28" s="51" t="s">
        <v>63</v>
      </c>
      <c r="B28" s="81" t="s">
        <v>44</v>
      </c>
      <c r="C28" s="51" t="s">
        <v>67</v>
      </c>
      <c r="D28" s="51" t="s">
        <v>46</v>
      </c>
      <c r="E28" s="51" t="s">
        <v>68</v>
      </c>
      <c r="F28" s="45" t="str" cm="1">
        <f t="array" ref="F28">_xlfn.IFS(H28="","", H28&lt;=2,"Low", H28&lt;=5,"Mid", H28&lt;=8,"High", TRUE,"Out of Range")</f>
        <v>Low</v>
      </c>
      <c r="G28" s="51" t="s">
        <v>48</v>
      </c>
      <c r="H28" s="52">
        <v>1.5</v>
      </c>
      <c r="I28" s="53">
        <f>WORKDAY(J24,1)</f>
        <v>46015</v>
      </c>
      <c r="J28" s="53">
        <f t="shared" si="0"/>
        <v>46020</v>
      </c>
      <c r="K28" s="54">
        <f>H28/$O$9</f>
        <v>3</v>
      </c>
      <c r="L28" s="102" t="s">
        <v>16</v>
      </c>
    </row>
    <row r="29" spans="1:12" hidden="1">
      <c r="A29" s="51" t="s">
        <v>63</v>
      </c>
      <c r="B29" s="81" t="s">
        <v>44</v>
      </c>
      <c r="C29" s="51" t="s">
        <v>67</v>
      </c>
      <c r="D29" s="51" t="s">
        <v>46</v>
      </c>
      <c r="E29" s="51" t="s">
        <v>69</v>
      </c>
      <c r="F29" s="45" t="s">
        <v>24</v>
      </c>
      <c r="G29" s="51" t="s">
        <v>48</v>
      </c>
      <c r="H29" s="52">
        <v>1.5</v>
      </c>
      <c r="I29" s="53">
        <f>WORKDAY(J25,1)</f>
        <v>46017</v>
      </c>
      <c r="J29" s="53">
        <f t="shared" si="0"/>
        <v>46022</v>
      </c>
      <c r="K29" s="54">
        <f>H29/$O$9</f>
        <v>3</v>
      </c>
      <c r="L29" s="102" t="s">
        <v>16</v>
      </c>
    </row>
    <row r="30" spans="1:12" hidden="1">
      <c r="A30" s="51" t="s">
        <v>70</v>
      </c>
      <c r="B30" s="81" t="s">
        <v>44</v>
      </c>
      <c r="C30" s="51" t="s">
        <v>67</v>
      </c>
      <c r="D30" s="51" t="s">
        <v>50</v>
      </c>
      <c r="E30" s="51" t="s">
        <v>71</v>
      </c>
      <c r="F30" s="45" t="s">
        <v>24</v>
      </c>
      <c r="G30" s="51" t="s">
        <v>62</v>
      </c>
      <c r="H30" s="52">
        <v>4</v>
      </c>
      <c r="I30" s="53">
        <f>WORKDAY(J29,1)</f>
        <v>46023</v>
      </c>
      <c r="J30" s="53">
        <f t="shared" si="0"/>
        <v>46029</v>
      </c>
      <c r="K30" s="54">
        <f>H30/$O$5</f>
        <v>4</v>
      </c>
      <c r="L30" s="102" t="s">
        <v>22</v>
      </c>
    </row>
    <row r="31" spans="1:12" hidden="1">
      <c r="A31" s="51" t="s">
        <v>70</v>
      </c>
      <c r="B31" s="81" t="s">
        <v>44</v>
      </c>
      <c r="C31" s="51" t="s">
        <v>67</v>
      </c>
      <c r="D31" s="51" t="s">
        <v>50</v>
      </c>
      <c r="E31" s="51" t="s">
        <v>72</v>
      </c>
      <c r="F31" s="45" t="s">
        <v>24</v>
      </c>
      <c r="G31" s="51" t="s">
        <v>18</v>
      </c>
      <c r="H31" s="52">
        <v>4</v>
      </c>
      <c r="I31" s="53">
        <f>WORKDAY(J26,1)</f>
        <v>46034</v>
      </c>
      <c r="J31" s="53">
        <f t="shared" si="0"/>
        <v>46038</v>
      </c>
      <c r="K31" s="54">
        <f>H31/$O$5</f>
        <v>4</v>
      </c>
      <c r="L31" s="102" t="s">
        <v>22</v>
      </c>
    </row>
    <row r="32" spans="1:12" hidden="1">
      <c r="A32" s="51" t="s">
        <v>73</v>
      </c>
      <c r="B32" s="81" t="s">
        <v>44</v>
      </c>
      <c r="C32" s="51" t="s">
        <v>67</v>
      </c>
      <c r="D32" s="51" t="s">
        <v>55</v>
      </c>
      <c r="E32" s="51" t="s">
        <v>74</v>
      </c>
      <c r="F32" s="45" t="s">
        <v>30</v>
      </c>
      <c r="G32" s="51" t="s">
        <v>57</v>
      </c>
      <c r="H32" s="52">
        <v>2</v>
      </c>
      <c r="I32" s="53">
        <f>WORKDAY(J31,1)</f>
        <v>46041</v>
      </c>
      <c r="J32" s="53">
        <f t="shared" si="0"/>
        <v>46043</v>
      </c>
      <c r="K32" s="54">
        <f>H32/$O$5</f>
        <v>2</v>
      </c>
      <c r="L32" s="102" t="s">
        <v>22</v>
      </c>
    </row>
    <row r="33" spans="1:12" hidden="1">
      <c r="A33" s="51" t="s">
        <v>63</v>
      </c>
      <c r="B33" s="81" t="s">
        <v>44</v>
      </c>
      <c r="C33" s="51" t="s">
        <v>75</v>
      </c>
      <c r="D33" s="51" t="s">
        <v>46</v>
      </c>
      <c r="E33" s="51" t="s">
        <v>76</v>
      </c>
      <c r="F33" s="45" t="s">
        <v>20</v>
      </c>
      <c r="G33" s="51" t="s">
        <v>48</v>
      </c>
      <c r="H33" s="52">
        <v>1.5</v>
      </c>
      <c r="I33" s="53">
        <f>WORKDAY(J29,1)</f>
        <v>46023</v>
      </c>
      <c r="J33" s="53">
        <f t="shared" si="0"/>
        <v>46028</v>
      </c>
      <c r="K33" s="54">
        <f>H33/$O$9</f>
        <v>3</v>
      </c>
      <c r="L33" s="102" t="s">
        <v>16</v>
      </c>
    </row>
    <row r="34" spans="1:12" hidden="1">
      <c r="A34" s="51" t="s">
        <v>63</v>
      </c>
      <c r="B34" s="81" t="s">
        <v>44</v>
      </c>
      <c r="C34" s="51" t="s">
        <v>75</v>
      </c>
      <c r="D34" s="51" t="s">
        <v>46</v>
      </c>
      <c r="E34" s="51" t="s">
        <v>77</v>
      </c>
      <c r="F34" s="45" t="s">
        <v>24</v>
      </c>
      <c r="G34" s="51" t="s">
        <v>48</v>
      </c>
      <c r="H34" s="52">
        <v>1.5</v>
      </c>
      <c r="I34" s="53">
        <f>WORKDAY(J33,1)</f>
        <v>46029</v>
      </c>
      <c r="J34" s="53">
        <f t="shared" si="0"/>
        <v>46034</v>
      </c>
      <c r="K34" s="54">
        <f>H34/$O$9</f>
        <v>3</v>
      </c>
      <c r="L34" s="102" t="s">
        <v>16</v>
      </c>
    </row>
    <row r="35" spans="1:12" hidden="1">
      <c r="A35" s="51" t="s">
        <v>73</v>
      </c>
      <c r="B35" s="81" t="s">
        <v>44</v>
      </c>
      <c r="C35" s="51" t="s">
        <v>75</v>
      </c>
      <c r="D35" s="51" t="s">
        <v>50</v>
      </c>
      <c r="E35" s="51" t="s">
        <v>78</v>
      </c>
      <c r="F35" s="45" t="str" cm="1">
        <f t="array" ref="F35">_xlfn.IFS(H35="","", H35&lt;=2,"Low", H35&lt;=5,"Mid", H35&lt;=8,"High", TRUE,"Out of Range")</f>
        <v>Mid</v>
      </c>
      <c r="G35" s="51" t="s">
        <v>62</v>
      </c>
      <c r="H35" s="52">
        <v>4</v>
      </c>
      <c r="I35" s="53">
        <f>WORKDAY(J30,1)</f>
        <v>46030</v>
      </c>
      <c r="J35" s="53">
        <f t="shared" si="0"/>
        <v>46036</v>
      </c>
      <c r="K35" s="54">
        <f>H35/$O$5</f>
        <v>4</v>
      </c>
      <c r="L35" s="102" t="s">
        <v>22</v>
      </c>
    </row>
    <row r="36" spans="1:12" hidden="1">
      <c r="A36" s="51" t="s">
        <v>73</v>
      </c>
      <c r="B36" s="81" t="s">
        <v>44</v>
      </c>
      <c r="C36" s="51" t="s">
        <v>75</v>
      </c>
      <c r="D36" s="51" t="s">
        <v>50</v>
      </c>
      <c r="E36" s="51" t="s">
        <v>79</v>
      </c>
      <c r="F36" s="45" t="str" cm="1">
        <f t="array" ref="F36">_xlfn.IFS(H36="","", H36&lt;=2,"Low", H36&lt;=5,"Mid", H36&lt;=8,"High", TRUE,"Out of Range")</f>
        <v>Mid</v>
      </c>
      <c r="G36" s="51" t="s">
        <v>18</v>
      </c>
      <c r="H36" s="52">
        <v>4</v>
      </c>
      <c r="I36" s="53">
        <f>WORKDAY(J31,1)</f>
        <v>46041</v>
      </c>
      <c r="J36" s="53">
        <f t="shared" si="0"/>
        <v>46045</v>
      </c>
      <c r="K36" s="54">
        <f>H36/$O$5</f>
        <v>4</v>
      </c>
      <c r="L36" s="102" t="s">
        <v>22</v>
      </c>
    </row>
    <row r="37" spans="1:12" hidden="1">
      <c r="A37" s="82" t="s">
        <v>80</v>
      </c>
      <c r="B37" s="83" t="s">
        <v>44</v>
      </c>
      <c r="C37" s="82" t="s">
        <v>75</v>
      </c>
      <c r="D37" s="51" t="s">
        <v>55</v>
      </c>
      <c r="E37" s="82" t="s">
        <v>81</v>
      </c>
      <c r="F37" s="45" t="str" cm="1">
        <f t="array" ref="F37">_xlfn.IFS(H37="","", H37&lt;=2,"Low", H37&lt;=5,"Mid", H37&lt;=8,"High", TRUE,"Out of Range")</f>
        <v>Low</v>
      </c>
      <c r="G37" s="51" t="s">
        <v>57</v>
      </c>
      <c r="H37" s="84">
        <v>1</v>
      </c>
      <c r="I37" s="85">
        <f>WORKDAY(J36,1)</f>
        <v>46048</v>
      </c>
      <c r="J37" s="85">
        <v>46048</v>
      </c>
      <c r="K37" s="54">
        <v>1</v>
      </c>
      <c r="L37" s="87" t="s">
        <v>22</v>
      </c>
    </row>
    <row r="38" spans="1:12" hidden="1">
      <c r="A38" s="51" t="s">
        <v>43</v>
      </c>
      <c r="B38" s="81" t="s">
        <v>82</v>
      </c>
      <c r="C38" s="51" t="s">
        <v>45</v>
      </c>
      <c r="D38" s="51" t="s">
        <v>46</v>
      </c>
      <c r="E38" s="51" t="s">
        <v>83</v>
      </c>
      <c r="F38" s="45" t="str" cm="1">
        <f t="array" ref="F38">_xlfn.IFS(H38="","", H38&lt;=2,"Low", H38&lt;=5,"Mid", H38&lt;=8,"High", TRUE,"Out of Range")</f>
        <v>Mid</v>
      </c>
      <c r="G38" s="51" t="s">
        <v>57</v>
      </c>
      <c r="H38" s="52">
        <v>3</v>
      </c>
      <c r="I38" s="53">
        <v>46035</v>
      </c>
      <c r="J38" s="53">
        <v>46037</v>
      </c>
      <c r="K38" s="54">
        <f>H38/$O$6</f>
        <v>3</v>
      </c>
      <c r="L38" s="102" t="s">
        <v>22</v>
      </c>
    </row>
    <row r="39" spans="1:12" hidden="1">
      <c r="A39" s="51" t="s">
        <v>53</v>
      </c>
      <c r="B39" s="81" t="s">
        <v>84</v>
      </c>
      <c r="C39" s="51" t="s">
        <v>45</v>
      </c>
      <c r="D39" s="51" t="s">
        <v>46</v>
      </c>
      <c r="E39" s="51" t="s">
        <v>85</v>
      </c>
      <c r="F39" s="45" t="str" cm="1">
        <f t="array" ref="F39">_xlfn.IFS(H39="","", H39&lt;=2,"Low", H39&lt;=5,"Mid", H39&lt;=8,"High", TRUE,"Out of Range")</f>
        <v>Mid</v>
      </c>
      <c r="G39" s="51" t="s">
        <v>57</v>
      </c>
      <c r="H39" s="52">
        <v>3</v>
      </c>
      <c r="I39" s="53">
        <v>46038</v>
      </c>
      <c r="J39" s="53">
        <v>46042</v>
      </c>
      <c r="K39" s="54">
        <f>H39/$O$6</f>
        <v>3</v>
      </c>
      <c r="L39" s="102" t="s">
        <v>22</v>
      </c>
    </row>
    <row r="40" spans="1:12" hidden="1">
      <c r="A40" s="51" t="s">
        <v>53</v>
      </c>
      <c r="B40" s="81" t="s">
        <v>84</v>
      </c>
      <c r="C40" s="51" t="s">
        <v>45</v>
      </c>
      <c r="D40" s="51" t="s">
        <v>50</v>
      </c>
      <c r="E40" s="51" t="s">
        <v>51</v>
      </c>
      <c r="F40" s="45" t="str" cm="1">
        <f t="array" ref="F40">_xlfn.IFS(H40="","", H40&lt;=2,"Low", H40&lt;=5,"Mid", H40&lt;=8,"High", TRUE,"Out of Range")</f>
        <v>Mid</v>
      </c>
      <c r="G40" s="51" t="s">
        <v>86</v>
      </c>
      <c r="H40" s="52">
        <v>4</v>
      </c>
      <c r="I40" s="53">
        <v>46043</v>
      </c>
      <c r="J40" s="53">
        <v>46048</v>
      </c>
      <c r="K40" s="54">
        <f>H40/$O$7</f>
        <v>4</v>
      </c>
      <c r="L40" s="102" t="s">
        <v>22</v>
      </c>
    </row>
    <row r="41" spans="1:12" hidden="1">
      <c r="A41" s="51" t="s">
        <v>63</v>
      </c>
      <c r="B41" s="81" t="s">
        <v>84</v>
      </c>
      <c r="C41" s="51" t="s">
        <v>45</v>
      </c>
      <c r="D41" s="51" t="s">
        <v>50</v>
      </c>
      <c r="E41" s="51" t="s">
        <v>52</v>
      </c>
      <c r="F41" s="45" t="s">
        <v>24</v>
      </c>
      <c r="G41" s="51" t="s">
        <v>86</v>
      </c>
      <c r="H41" s="52">
        <v>4</v>
      </c>
      <c r="I41" s="53">
        <v>46049</v>
      </c>
      <c r="J41" s="53">
        <v>46052</v>
      </c>
      <c r="K41" s="54">
        <f>H41/$O$7</f>
        <v>4</v>
      </c>
      <c r="L41" s="102" t="s">
        <v>22</v>
      </c>
    </row>
    <row r="42" spans="1:12" hidden="1">
      <c r="A42" s="51" t="s">
        <v>70</v>
      </c>
      <c r="B42" s="81" t="s">
        <v>84</v>
      </c>
      <c r="C42" s="51" t="s">
        <v>45</v>
      </c>
      <c r="D42" s="51" t="s">
        <v>50</v>
      </c>
      <c r="E42" s="51" t="s">
        <v>54</v>
      </c>
      <c r="F42" s="45" t="s">
        <v>24</v>
      </c>
      <c r="G42" s="51" t="s">
        <v>86</v>
      </c>
      <c r="H42" s="52">
        <v>2</v>
      </c>
      <c r="I42" s="53">
        <v>46055</v>
      </c>
      <c r="J42" s="53">
        <v>46056</v>
      </c>
      <c r="K42" s="54">
        <f>H42/$O$7</f>
        <v>2</v>
      </c>
      <c r="L42" s="102" t="s">
        <v>22</v>
      </c>
    </row>
    <row r="43" spans="1:12" hidden="1">
      <c r="A43" s="51" t="s">
        <v>73</v>
      </c>
      <c r="B43" s="81" t="s">
        <v>84</v>
      </c>
      <c r="C43" s="51" t="s">
        <v>45</v>
      </c>
      <c r="D43" s="51" t="s">
        <v>55</v>
      </c>
      <c r="E43" s="51" t="s">
        <v>56</v>
      </c>
      <c r="F43" s="45" t="s">
        <v>24</v>
      </c>
      <c r="G43" s="51" t="s">
        <v>57</v>
      </c>
      <c r="H43" s="52">
        <v>3</v>
      </c>
      <c r="I43" s="53">
        <v>46057</v>
      </c>
      <c r="J43" s="53">
        <v>46059</v>
      </c>
      <c r="K43" s="54">
        <f>H43/$O$5</f>
        <v>3</v>
      </c>
      <c r="L43" s="102" t="s">
        <v>22</v>
      </c>
    </row>
    <row r="44" spans="1:12" hidden="1">
      <c r="A44" s="51" t="s">
        <v>70</v>
      </c>
      <c r="B44" s="81" t="s">
        <v>84</v>
      </c>
      <c r="C44" s="77" t="s">
        <v>87</v>
      </c>
      <c r="D44" s="51" t="s">
        <v>46</v>
      </c>
      <c r="E44" s="51" t="s">
        <v>88</v>
      </c>
      <c r="F44" s="45" t="s">
        <v>30</v>
      </c>
      <c r="G44" s="51" t="s">
        <v>57</v>
      </c>
      <c r="H44" s="52">
        <v>2</v>
      </c>
      <c r="I44" s="53">
        <v>46043</v>
      </c>
      <c r="J44" s="53">
        <v>46044</v>
      </c>
      <c r="K44" s="54">
        <f>H44/$O$7</f>
        <v>2</v>
      </c>
      <c r="L44" s="102" t="s">
        <v>22</v>
      </c>
    </row>
    <row r="45" spans="1:12" hidden="1">
      <c r="A45" s="51" t="s">
        <v>70</v>
      </c>
      <c r="B45" s="81" t="s">
        <v>84</v>
      </c>
      <c r="C45" s="77" t="s">
        <v>87</v>
      </c>
      <c r="D45" s="51" t="s">
        <v>46</v>
      </c>
      <c r="E45" s="51" t="s">
        <v>89</v>
      </c>
      <c r="F45" s="45" t="s">
        <v>20</v>
      </c>
      <c r="G45" s="51" t="s">
        <v>57</v>
      </c>
      <c r="H45" s="52">
        <v>2</v>
      </c>
      <c r="I45" s="53">
        <v>46045</v>
      </c>
      <c r="J45" s="53">
        <v>46045</v>
      </c>
      <c r="K45" s="54">
        <v>1</v>
      </c>
      <c r="L45" s="102" t="s">
        <v>22</v>
      </c>
    </row>
    <row r="46" spans="1:12" hidden="1">
      <c r="A46" s="51" t="s">
        <v>70</v>
      </c>
      <c r="B46" s="81" t="s">
        <v>84</v>
      </c>
      <c r="C46" s="77" t="s">
        <v>87</v>
      </c>
      <c r="D46" s="51" t="s">
        <v>50</v>
      </c>
      <c r="E46" s="51" t="s">
        <v>90</v>
      </c>
      <c r="F46" s="45" t="s">
        <v>24</v>
      </c>
      <c r="G46" s="51" t="s">
        <v>62</v>
      </c>
      <c r="H46" s="52">
        <v>2</v>
      </c>
      <c r="I46" s="53">
        <v>46049</v>
      </c>
      <c r="J46" s="53">
        <v>46050</v>
      </c>
      <c r="K46" s="54">
        <f>H46/$O$8</f>
        <v>2</v>
      </c>
      <c r="L46" s="102" t="s">
        <v>22</v>
      </c>
    </row>
    <row r="47" spans="1:12" hidden="1">
      <c r="A47" s="51" t="s">
        <v>73</v>
      </c>
      <c r="B47" s="81" t="s">
        <v>84</v>
      </c>
      <c r="C47" s="77" t="s">
        <v>87</v>
      </c>
      <c r="D47" s="51" t="s">
        <v>50</v>
      </c>
      <c r="E47" s="51" t="s">
        <v>91</v>
      </c>
      <c r="F47" s="45" t="str" cm="1">
        <f t="array" ref="F47">_xlfn.IFS(H47="","", H47&lt;=2,"Low", H47&lt;=5,"Mid", H47&lt;=8,"High", TRUE,"Out of Range")</f>
        <v>High</v>
      </c>
      <c r="G47" s="51" t="s">
        <v>86</v>
      </c>
      <c r="H47" s="52">
        <v>8</v>
      </c>
      <c r="I47" s="53">
        <v>46057</v>
      </c>
      <c r="J47" s="53">
        <v>46066</v>
      </c>
      <c r="K47" s="54">
        <f>H47/$O$7</f>
        <v>8</v>
      </c>
      <c r="L47" s="102" t="s">
        <v>22</v>
      </c>
    </row>
    <row r="48" spans="1:12" hidden="1">
      <c r="A48" s="51" t="s">
        <v>73</v>
      </c>
      <c r="B48" s="81" t="s">
        <v>84</v>
      </c>
      <c r="C48" s="77" t="s">
        <v>87</v>
      </c>
      <c r="D48" s="51" t="s">
        <v>55</v>
      </c>
      <c r="E48" s="51" t="s">
        <v>92</v>
      </c>
      <c r="F48" s="45" t="str" cm="1">
        <f t="array" ref="F48">_xlfn.IFS(H48="","", H48&lt;=2,"Low", H48&lt;=5,"Mid", H48&lt;=8,"High", TRUE,"Out of Range")</f>
        <v>Low</v>
      </c>
      <c r="G48" s="51" t="s">
        <v>57</v>
      </c>
      <c r="H48" s="52">
        <v>2</v>
      </c>
      <c r="I48" s="53">
        <v>46076</v>
      </c>
      <c r="J48" s="53">
        <v>46077</v>
      </c>
      <c r="K48" s="54">
        <f>H48/$O$5</f>
        <v>2</v>
      </c>
      <c r="L48" s="102" t="s">
        <v>22</v>
      </c>
    </row>
    <row r="49" spans="1:12" hidden="1">
      <c r="A49" s="51" t="s">
        <v>80</v>
      </c>
      <c r="B49" s="81" t="s">
        <v>84</v>
      </c>
      <c r="C49" s="77" t="s">
        <v>93</v>
      </c>
      <c r="D49" s="51" t="s">
        <v>46</v>
      </c>
      <c r="E49" s="51" t="s">
        <v>94</v>
      </c>
      <c r="F49" s="45" t="str" cm="1">
        <f t="array" ref="F49">_xlfn.IFS(H49="","", H49&lt;=2,"Low", H49&lt;=5,"Mid", H49&lt;=8,"High", TRUE,"Out of Range")</f>
        <v>Low</v>
      </c>
      <c r="G49" s="51" t="s">
        <v>57</v>
      </c>
      <c r="H49" s="52">
        <v>2</v>
      </c>
      <c r="I49" s="53">
        <v>46049</v>
      </c>
      <c r="J49" s="53">
        <v>46050</v>
      </c>
      <c r="K49" s="54">
        <f>H49/$O$7</f>
        <v>2</v>
      </c>
      <c r="L49" s="102" t="s">
        <v>22</v>
      </c>
    </row>
    <row r="50" spans="1:12" hidden="1">
      <c r="A50" s="51" t="s">
        <v>80</v>
      </c>
      <c r="B50" s="81" t="s">
        <v>84</v>
      </c>
      <c r="C50" s="77" t="s">
        <v>93</v>
      </c>
      <c r="D50" s="51" t="s">
        <v>46</v>
      </c>
      <c r="E50" s="51" t="s">
        <v>95</v>
      </c>
      <c r="F50" s="45" t="str" cm="1">
        <f t="array" ref="F50">_xlfn.IFS(H50="","", H50&lt;=2,"Low", H50&lt;=5,"Mid", H50&lt;=8,"High", TRUE,"Out of Range")</f>
        <v>Low</v>
      </c>
      <c r="G50" s="51" t="s">
        <v>57</v>
      </c>
      <c r="H50" s="52">
        <v>2</v>
      </c>
      <c r="I50" s="53">
        <v>46051</v>
      </c>
      <c r="J50" s="53">
        <v>46052</v>
      </c>
      <c r="K50" s="54">
        <f>H50/$O$7</f>
        <v>2</v>
      </c>
      <c r="L50" s="102" t="s">
        <v>22</v>
      </c>
    </row>
    <row r="51" spans="1:12" hidden="1">
      <c r="A51" s="51" t="s">
        <v>80</v>
      </c>
      <c r="B51" s="81" t="s">
        <v>84</v>
      </c>
      <c r="C51" s="77" t="s">
        <v>93</v>
      </c>
      <c r="D51" s="51" t="s">
        <v>50</v>
      </c>
      <c r="E51" s="51" t="s">
        <v>96</v>
      </c>
      <c r="F51" s="45" t="str" cm="1">
        <f t="array" ref="F51">_xlfn.IFS(H51="","", H51&lt;=2,"Low", H51&lt;=5,"Mid", H51&lt;=8,"High", TRUE,"Out of Range")</f>
        <v>Low</v>
      </c>
      <c r="G51" s="51" t="s">
        <v>62</v>
      </c>
      <c r="H51" s="52">
        <v>2</v>
      </c>
      <c r="I51" s="53">
        <v>46055</v>
      </c>
      <c r="J51" s="53">
        <v>46056</v>
      </c>
      <c r="K51" s="54">
        <f>H51/$O$8</f>
        <v>2</v>
      </c>
      <c r="L51" s="102" t="s">
        <v>22</v>
      </c>
    </row>
    <row r="52" spans="1:12" hidden="1">
      <c r="A52" s="51" t="s">
        <v>97</v>
      </c>
      <c r="B52" s="81" t="s">
        <v>84</v>
      </c>
      <c r="C52" s="77" t="s">
        <v>93</v>
      </c>
      <c r="D52" s="51" t="s">
        <v>50</v>
      </c>
      <c r="E52" s="51" t="s">
        <v>98</v>
      </c>
      <c r="F52" s="45" t="str" cm="1">
        <f t="array" ref="F52">_xlfn.IFS(H52="","", H52&lt;=2,"Low", H52&lt;=5,"Mid", H52&lt;=8,"High", TRUE,"Out of Range")</f>
        <v>High</v>
      </c>
      <c r="G52" s="51" t="s">
        <v>99</v>
      </c>
      <c r="H52" s="52">
        <v>8</v>
      </c>
      <c r="I52" s="53">
        <v>46055</v>
      </c>
      <c r="J52" s="53">
        <v>46064</v>
      </c>
      <c r="K52" s="54">
        <f>H52/$O$7</f>
        <v>8</v>
      </c>
      <c r="L52" s="102" t="s">
        <v>22</v>
      </c>
    </row>
    <row r="53" spans="1:12" hidden="1">
      <c r="A53" s="51" t="s">
        <v>100</v>
      </c>
      <c r="B53" s="81" t="s">
        <v>84</v>
      </c>
      <c r="C53" s="77" t="s">
        <v>93</v>
      </c>
      <c r="D53" s="51" t="s">
        <v>55</v>
      </c>
      <c r="E53" s="51" t="s">
        <v>101</v>
      </c>
      <c r="F53" s="45" t="s">
        <v>24</v>
      </c>
      <c r="G53" s="51" t="s">
        <v>57</v>
      </c>
      <c r="H53" s="52">
        <v>2</v>
      </c>
      <c r="I53" s="53">
        <v>46078</v>
      </c>
      <c r="J53" s="53">
        <v>46079</v>
      </c>
      <c r="K53" s="54">
        <f>H53/$O$5</f>
        <v>2</v>
      </c>
      <c r="L53" s="102" t="s">
        <v>22</v>
      </c>
    </row>
    <row r="54" spans="1:12" hidden="1">
      <c r="A54" s="51" t="s">
        <v>80</v>
      </c>
      <c r="B54" s="81" t="s">
        <v>84</v>
      </c>
      <c r="C54" s="77" t="s">
        <v>102</v>
      </c>
      <c r="D54" s="51" t="s">
        <v>46</v>
      </c>
      <c r="E54" s="51" t="s">
        <v>103</v>
      </c>
      <c r="F54" s="45" t="s">
        <v>24</v>
      </c>
      <c r="G54" s="51" t="s">
        <v>57</v>
      </c>
      <c r="H54" s="52">
        <v>2</v>
      </c>
      <c r="I54" s="53">
        <v>46055</v>
      </c>
      <c r="J54" s="53">
        <v>46056</v>
      </c>
      <c r="K54" s="54">
        <f>H54/$O$5</f>
        <v>2</v>
      </c>
      <c r="L54" s="102" t="s">
        <v>22</v>
      </c>
    </row>
    <row r="55" spans="1:12" hidden="1">
      <c r="A55" s="51" t="s">
        <v>97</v>
      </c>
      <c r="B55" s="81" t="s">
        <v>84</v>
      </c>
      <c r="C55" s="77" t="s">
        <v>102</v>
      </c>
      <c r="D55" s="51" t="s">
        <v>46</v>
      </c>
      <c r="E55" s="51" t="s">
        <v>104</v>
      </c>
      <c r="F55" s="45" t="s">
        <v>24</v>
      </c>
      <c r="G55" s="51" t="s">
        <v>57</v>
      </c>
      <c r="H55" s="52">
        <v>2</v>
      </c>
      <c r="I55" s="53">
        <v>46062</v>
      </c>
      <c r="J55" s="53">
        <v>46063</v>
      </c>
      <c r="K55" s="54">
        <f>H55/$O$5</f>
        <v>2</v>
      </c>
      <c r="L55" s="102" t="s">
        <v>22</v>
      </c>
    </row>
    <row r="56" spans="1:12" hidden="1">
      <c r="A56" s="51" t="s">
        <v>97</v>
      </c>
      <c r="B56" s="81" t="s">
        <v>84</v>
      </c>
      <c r="C56" s="77" t="s">
        <v>102</v>
      </c>
      <c r="D56" s="51" t="s">
        <v>50</v>
      </c>
      <c r="E56" s="51" t="s">
        <v>105</v>
      </c>
      <c r="F56" s="45" t="s">
        <v>30</v>
      </c>
      <c r="G56" s="51" t="s">
        <v>62</v>
      </c>
      <c r="H56" s="52">
        <v>2</v>
      </c>
      <c r="I56" s="53">
        <v>46064</v>
      </c>
      <c r="J56" s="53">
        <v>46065</v>
      </c>
      <c r="K56" s="54">
        <f>H56/$O$8</f>
        <v>2</v>
      </c>
      <c r="L56" s="102" t="s">
        <v>22</v>
      </c>
    </row>
    <row r="57" spans="1:12" hidden="1">
      <c r="A57" s="51" t="s">
        <v>100</v>
      </c>
      <c r="B57" s="81" t="s">
        <v>84</v>
      </c>
      <c r="C57" s="77" t="s">
        <v>102</v>
      </c>
      <c r="D57" s="51" t="s">
        <v>50</v>
      </c>
      <c r="E57" s="51" t="s">
        <v>106</v>
      </c>
      <c r="F57" s="45" t="s">
        <v>20</v>
      </c>
      <c r="G57" s="51" t="s">
        <v>86</v>
      </c>
      <c r="H57" s="52">
        <v>8</v>
      </c>
      <c r="I57" s="53">
        <v>46076</v>
      </c>
      <c r="J57" s="53">
        <v>46085</v>
      </c>
      <c r="K57" s="54">
        <f>H57/$O$5</f>
        <v>8</v>
      </c>
      <c r="L57" s="102" t="s">
        <v>22</v>
      </c>
    </row>
    <row r="58" spans="1:12" hidden="1">
      <c r="A58" s="51" t="s">
        <v>107</v>
      </c>
      <c r="B58" s="81" t="s">
        <v>84</v>
      </c>
      <c r="C58" s="77" t="s">
        <v>102</v>
      </c>
      <c r="D58" s="51" t="s">
        <v>55</v>
      </c>
      <c r="E58" s="51" t="s">
        <v>108</v>
      </c>
      <c r="F58" s="45" t="s">
        <v>24</v>
      </c>
      <c r="G58" s="51" t="s">
        <v>57</v>
      </c>
      <c r="H58" s="52">
        <v>2</v>
      </c>
      <c r="I58" s="53">
        <v>46086</v>
      </c>
      <c r="J58" s="53">
        <v>46087</v>
      </c>
      <c r="K58" s="54">
        <f>H58/$O$5</f>
        <v>2</v>
      </c>
      <c r="L58" s="102" t="s">
        <v>22</v>
      </c>
    </row>
    <row r="59" spans="1:12" hidden="1">
      <c r="A59" s="51" t="s">
        <v>107</v>
      </c>
      <c r="B59" s="81" t="s">
        <v>84</v>
      </c>
      <c r="C59" s="77" t="s">
        <v>109</v>
      </c>
      <c r="D59" s="51" t="s">
        <v>46</v>
      </c>
      <c r="E59" s="51" t="s">
        <v>110</v>
      </c>
      <c r="F59" s="45" t="str" cm="1">
        <f t="array" ref="F59">_xlfn.IFS(H59="","", H59&lt;=2,"Low", H59&lt;=5,"Mid", H59&lt;=8,"High", TRUE,"Out of Range")</f>
        <v>Low</v>
      </c>
      <c r="G59" s="51" t="s">
        <v>57</v>
      </c>
      <c r="H59" s="52">
        <v>1</v>
      </c>
      <c r="I59" s="53">
        <v>46080</v>
      </c>
      <c r="J59" s="53">
        <v>46080</v>
      </c>
      <c r="K59" s="54">
        <f>H59/$O$5</f>
        <v>1</v>
      </c>
      <c r="L59" s="102" t="s">
        <v>22</v>
      </c>
    </row>
    <row r="60" spans="1:12" hidden="1">
      <c r="A60" s="51" t="s">
        <v>107</v>
      </c>
      <c r="B60" s="81" t="s">
        <v>84</v>
      </c>
      <c r="C60" s="77" t="s">
        <v>109</v>
      </c>
      <c r="D60" s="51" t="s">
        <v>46</v>
      </c>
      <c r="E60" s="51" t="s">
        <v>111</v>
      </c>
      <c r="F60" s="45" t="str" cm="1">
        <f t="array" ref="F60">_xlfn.IFS(H60="","", H60&lt;=2,"Low", H60&lt;=5,"Mid", H60&lt;=8,"High", TRUE,"Out of Range")</f>
        <v>Low</v>
      </c>
      <c r="G60" s="51" t="s">
        <v>57</v>
      </c>
      <c r="H60" s="52">
        <v>2</v>
      </c>
      <c r="I60" s="53">
        <v>46083</v>
      </c>
      <c r="J60" s="53">
        <v>46084</v>
      </c>
      <c r="K60" s="54">
        <f>H60/$O$5</f>
        <v>2</v>
      </c>
      <c r="L60" s="102" t="s">
        <v>22</v>
      </c>
    </row>
    <row r="61" spans="1:12" hidden="1">
      <c r="A61" s="51" t="s">
        <v>107</v>
      </c>
      <c r="B61" s="81" t="s">
        <v>84</v>
      </c>
      <c r="C61" s="77" t="s">
        <v>109</v>
      </c>
      <c r="D61" s="51" t="s">
        <v>50</v>
      </c>
      <c r="E61" s="51" t="s">
        <v>112</v>
      </c>
      <c r="F61" s="45" t="str" cm="1">
        <f t="array" ref="F61">_xlfn.IFS(H61="","", H61&lt;=2,"Low", H61&lt;=5,"Mid", H61&lt;=8,"High", TRUE,"Out of Range")</f>
        <v>Low</v>
      </c>
      <c r="G61" s="51" t="s">
        <v>62</v>
      </c>
      <c r="H61" s="52">
        <v>1</v>
      </c>
      <c r="I61" s="53">
        <v>46085</v>
      </c>
      <c r="J61" s="53">
        <v>46085</v>
      </c>
      <c r="K61" s="54">
        <f>H61/$O$8</f>
        <v>1</v>
      </c>
      <c r="L61" s="102" t="s">
        <v>22</v>
      </c>
    </row>
    <row r="62" spans="1:12" hidden="1">
      <c r="A62" s="51" t="s">
        <v>113</v>
      </c>
      <c r="B62" s="81" t="s">
        <v>84</v>
      </c>
      <c r="C62" s="77" t="s">
        <v>109</v>
      </c>
      <c r="D62" s="51" t="s">
        <v>50</v>
      </c>
      <c r="E62" s="51" t="s">
        <v>114</v>
      </c>
      <c r="F62" s="45" t="str" cm="1">
        <f t="array" ref="F62">_xlfn.IFS(H62="","", H62&lt;=2,"Low", H62&lt;=5,"Mid", H62&lt;=8,"High", TRUE,"Out of Range")</f>
        <v>Mid</v>
      </c>
      <c r="G62" s="51" t="s">
        <v>18</v>
      </c>
      <c r="H62" s="52">
        <v>3</v>
      </c>
      <c r="I62" s="53">
        <v>46086</v>
      </c>
      <c r="J62" s="53">
        <v>46090</v>
      </c>
      <c r="K62" s="54">
        <f>H62/$O$5</f>
        <v>3</v>
      </c>
      <c r="L62" s="102" t="s">
        <v>22</v>
      </c>
    </row>
    <row r="63" spans="1:12" hidden="1">
      <c r="A63" s="51" t="s">
        <v>115</v>
      </c>
      <c r="B63" s="81" t="s">
        <v>84</v>
      </c>
      <c r="C63" s="77" t="s">
        <v>109</v>
      </c>
      <c r="D63" s="51" t="s">
        <v>55</v>
      </c>
      <c r="E63" s="51" t="s">
        <v>116</v>
      </c>
      <c r="F63" s="45" t="str" cm="1">
        <f t="array" ref="F63">_xlfn.IFS(H63="","", H63&lt;=2,"Low", H63&lt;=5,"Mid", H63&lt;=8,"High", TRUE,"Out of Range")</f>
        <v>Low</v>
      </c>
      <c r="G63" s="51" t="s">
        <v>57</v>
      </c>
      <c r="H63" s="52">
        <v>2</v>
      </c>
      <c r="I63" s="53">
        <v>46091</v>
      </c>
      <c r="J63" s="53">
        <v>46092</v>
      </c>
      <c r="K63" s="54">
        <f>H63/$O$5</f>
        <v>2</v>
      </c>
      <c r="L63" s="102" t="s">
        <v>22</v>
      </c>
    </row>
    <row r="64" spans="1:12" hidden="1">
      <c r="A64" s="51" t="s">
        <v>115</v>
      </c>
      <c r="B64" s="81" t="s">
        <v>84</v>
      </c>
      <c r="C64" s="77" t="s">
        <v>117</v>
      </c>
      <c r="D64" s="51" t="s">
        <v>46</v>
      </c>
      <c r="E64" s="51" t="s">
        <v>118</v>
      </c>
      <c r="F64" s="45" t="str" cm="1">
        <f t="array" ref="F64">_xlfn.IFS(H64="","", H64&lt;=2,"Low", H64&lt;=5,"Mid", H64&lt;=8,"High", TRUE,"Out of Range")</f>
        <v>Low</v>
      </c>
      <c r="G64" s="51" t="s">
        <v>57</v>
      </c>
      <c r="H64" s="52">
        <v>1</v>
      </c>
      <c r="I64" s="53">
        <v>46085</v>
      </c>
      <c r="J64" s="53">
        <v>46085</v>
      </c>
      <c r="K64" s="54">
        <f>H64/$O$5</f>
        <v>1</v>
      </c>
      <c r="L64" s="102" t="s">
        <v>22</v>
      </c>
    </row>
    <row r="65" spans="1:12" hidden="1">
      <c r="A65" s="51" t="s">
        <v>115</v>
      </c>
      <c r="B65" s="81" t="s">
        <v>84</v>
      </c>
      <c r="C65" s="77" t="s">
        <v>117</v>
      </c>
      <c r="D65" s="51" t="s">
        <v>46</v>
      </c>
      <c r="E65" s="51" t="s">
        <v>119</v>
      </c>
      <c r="F65" s="45" t="s">
        <v>24</v>
      </c>
      <c r="G65" s="51" t="s">
        <v>57</v>
      </c>
      <c r="H65" s="52">
        <v>2</v>
      </c>
      <c r="I65" s="53">
        <v>46090</v>
      </c>
      <c r="J65" s="53">
        <v>46091</v>
      </c>
      <c r="K65" s="54">
        <f>H65/$O$5</f>
        <v>2</v>
      </c>
      <c r="L65" s="102" t="s">
        <v>22</v>
      </c>
    </row>
    <row r="66" spans="1:12" hidden="1">
      <c r="A66" s="51" t="s">
        <v>115</v>
      </c>
      <c r="B66" s="81" t="s">
        <v>84</v>
      </c>
      <c r="C66" s="77" t="s">
        <v>117</v>
      </c>
      <c r="D66" s="51" t="s">
        <v>50</v>
      </c>
      <c r="E66" s="51" t="s">
        <v>120</v>
      </c>
      <c r="F66" s="45" t="s">
        <v>24</v>
      </c>
      <c r="G66" s="51" t="s">
        <v>62</v>
      </c>
      <c r="H66" s="52">
        <v>2</v>
      </c>
      <c r="I66" s="53">
        <v>46092</v>
      </c>
      <c r="J66" s="53">
        <v>46093</v>
      </c>
      <c r="K66" s="54">
        <f>H66/$O$8</f>
        <v>2</v>
      </c>
      <c r="L66" s="102" t="s">
        <v>22</v>
      </c>
    </row>
    <row r="67" spans="1:12" hidden="1">
      <c r="A67" s="51" t="s">
        <v>121</v>
      </c>
      <c r="B67" s="81" t="s">
        <v>84</v>
      </c>
      <c r="C67" s="77" t="s">
        <v>117</v>
      </c>
      <c r="D67" s="51" t="s">
        <v>50</v>
      </c>
      <c r="E67" s="51" t="s">
        <v>122</v>
      </c>
      <c r="F67" s="45" t="s">
        <v>24</v>
      </c>
      <c r="G67" s="51" t="s">
        <v>86</v>
      </c>
      <c r="H67" s="52">
        <v>2</v>
      </c>
      <c r="I67" s="53">
        <v>46092</v>
      </c>
      <c r="J67" s="53">
        <v>46093</v>
      </c>
      <c r="K67" s="54">
        <f>H67/$O$5</f>
        <v>2</v>
      </c>
      <c r="L67" s="102" t="s">
        <v>22</v>
      </c>
    </row>
    <row r="68" spans="1:12" hidden="1">
      <c r="A68" s="51" t="s">
        <v>121</v>
      </c>
      <c r="B68" s="81" t="s">
        <v>84</v>
      </c>
      <c r="C68" s="77" t="s">
        <v>117</v>
      </c>
      <c r="D68" s="51" t="s">
        <v>55</v>
      </c>
      <c r="E68" s="51" t="s">
        <v>123</v>
      </c>
      <c r="F68" s="45" t="s">
        <v>30</v>
      </c>
      <c r="G68" s="51" t="s">
        <v>57</v>
      </c>
      <c r="H68" s="52">
        <v>2</v>
      </c>
      <c r="I68" s="53">
        <v>46094</v>
      </c>
      <c r="J68" s="53">
        <v>46097</v>
      </c>
      <c r="K68" s="54">
        <f>H68/$O$5</f>
        <v>2</v>
      </c>
      <c r="L68" s="102" t="s">
        <v>22</v>
      </c>
    </row>
    <row r="69" spans="1:12" hidden="1">
      <c r="A69" s="51" t="s">
        <v>121</v>
      </c>
      <c r="B69" s="81" t="s">
        <v>84</v>
      </c>
      <c r="C69" s="77" t="s">
        <v>124</v>
      </c>
      <c r="D69" s="51" t="s">
        <v>46</v>
      </c>
      <c r="E69" s="51" t="s">
        <v>118</v>
      </c>
      <c r="F69" s="45" t="s">
        <v>20</v>
      </c>
      <c r="G69" s="51" t="s">
        <v>57</v>
      </c>
      <c r="H69" s="52">
        <v>1</v>
      </c>
      <c r="I69" s="53">
        <v>46092</v>
      </c>
      <c r="J69" s="53">
        <v>46092</v>
      </c>
      <c r="K69" s="54">
        <f>H69/$O$5</f>
        <v>1</v>
      </c>
      <c r="L69" s="102" t="s">
        <v>22</v>
      </c>
    </row>
    <row r="70" spans="1:12" hidden="1">
      <c r="A70" s="51" t="s">
        <v>125</v>
      </c>
      <c r="B70" s="81" t="s">
        <v>84</v>
      </c>
      <c r="C70" s="77" t="s">
        <v>124</v>
      </c>
      <c r="D70" s="51" t="s">
        <v>46</v>
      </c>
      <c r="E70" s="51" t="s">
        <v>119</v>
      </c>
      <c r="F70" s="45" t="s">
        <v>24</v>
      </c>
      <c r="G70" s="51" t="s">
        <v>57</v>
      </c>
      <c r="H70" s="52">
        <v>1</v>
      </c>
      <c r="I70" s="53">
        <v>46093</v>
      </c>
      <c r="J70" s="53">
        <v>46093</v>
      </c>
      <c r="K70" s="54">
        <f>H70/$O$5</f>
        <v>1</v>
      </c>
      <c r="L70" s="102" t="s">
        <v>22</v>
      </c>
    </row>
    <row r="71" spans="1:12" hidden="1">
      <c r="A71" s="51" t="s">
        <v>125</v>
      </c>
      <c r="B71" s="81" t="s">
        <v>84</v>
      </c>
      <c r="C71" s="77" t="s">
        <v>124</v>
      </c>
      <c r="D71" s="51" t="s">
        <v>50</v>
      </c>
      <c r="E71" s="51" t="s">
        <v>120</v>
      </c>
      <c r="F71" s="45" t="str" cm="1">
        <f t="array" ref="F71">_xlfn.IFS(H71="","", H71&lt;=2,"Low", H71&lt;=5,"Mid", H71&lt;=8,"High", TRUE,"Out of Range")</f>
        <v>Low</v>
      </c>
      <c r="G71" s="51" t="s">
        <v>62</v>
      </c>
      <c r="H71" s="52">
        <v>1</v>
      </c>
      <c r="I71" s="53">
        <v>46098</v>
      </c>
      <c r="J71" s="53">
        <v>46098</v>
      </c>
      <c r="K71" s="54">
        <f>H71/$O$8</f>
        <v>1</v>
      </c>
      <c r="L71" s="102" t="s">
        <v>22</v>
      </c>
    </row>
    <row r="72" spans="1:12" hidden="1">
      <c r="A72" s="51" t="s">
        <v>125</v>
      </c>
      <c r="B72" s="81" t="s">
        <v>84</v>
      </c>
      <c r="C72" s="77" t="s">
        <v>124</v>
      </c>
      <c r="D72" s="51" t="s">
        <v>50</v>
      </c>
      <c r="E72" s="51" t="s">
        <v>122</v>
      </c>
      <c r="F72" s="45" t="str" cm="1">
        <f t="array" ref="F72">_xlfn.IFS(H72="","", H72&lt;=2,"Low", H72&lt;=5,"Mid", H72&lt;=8,"High", TRUE,"Out of Range")</f>
        <v>Mid</v>
      </c>
      <c r="G72" s="51" t="s">
        <v>18</v>
      </c>
      <c r="H72" s="52">
        <v>3</v>
      </c>
      <c r="I72" s="53">
        <v>46098</v>
      </c>
      <c r="J72" s="53">
        <v>46100</v>
      </c>
      <c r="K72" s="54">
        <f>H72/$O$5</f>
        <v>3</v>
      </c>
      <c r="L72" s="102" t="s">
        <v>22</v>
      </c>
    </row>
    <row r="73" spans="1:12" hidden="1">
      <c r="A73" s="51" t="s">
        <v>125</v>
      </c>
      <c r="B73" s="81" t="s">
        <v>84</v>
      </c>
      <c r="C73" s="77" t="s">
        <v>124</v>
      </c>
      <c r="D73" s="51" t="s">
        <v>55</v>
      </c>
      <c r="E73" s="51" t="s">
        <v>123</v>
      </c>
      <c r="F73" s="45" t="str" cm="1">
        <f t="array" ref="F73">_xlfn.IFS(H73="","", H73&lt;=2,"Low", H73&lt;=5,"Mid", H73&lt;=8,"High", TRUE,"Out of Range")</f>
        <v>Low</v>
      </c>
      <c r="G73" s="51" t="s">
        <v>57</v>
      </c>
      <c r="H73" s="52">
        <v>1</v>
      </c>
      <c r="I73" s="53">
        <v>46101</v>
      </c>
      <c r="J73" s="53">
        <v>46101</v>
      </c>
      <c r="K73" s="54">
        <f>H73/$O$5</f>
        <v>1</v>
      </c>
      <c r="L73" s="102" t="s">
        <v>22</v>
      </c>
    </row>
    <row r="74" spans="1:12" hidden="1">
      <c r="A74" s="51" t="s">
        <v>73</v>
      </c>
      <c r="B74" s="81" t="s">
        <v>84</v>
      </c>
      <c r="C74" s="51" t="s">
        <v>126</v>
      </c>
      <c r="D74" s="51" t="s">
        <v>46</v>
      </c>
      <c r="E74" s="51" t="s">
        <v>127</v>
      </c>
      <c r="F74" s="45" t="str" cm="1">
        <f t="array" ref="F74">_xlfn.IFS(H74="","", H74&lt;=2,"Low", H74&lt;=5,"Mid", H74&lt;=8,"High", TRUE,"Out of Range")</f>
        <v>Low</v>
      </c>
      <c r="G74" s="51" t="s">
        <v>57</v>
      </c>
      <c r="H74" s="52">
        <v>1</v>
      </c>
      <c r="I74" s="53">
        <v>46098</v>
      </c>
      <c r="J74" s="53">
        <v>46098</v>
      </c>
      <c r="K74" s="54">
        <f>H74/$O$6</f>
        <v>1</v>
      </c>
      <c r="L74" s="102" t="s">
        <v>22</v>
      </c>
    </row>
    <row r="75" spans="1:12" hidden="1">
      <c r="A75" s="51" t="s">
        <v>80</v>
      </c>
      <c r="B75" s="81" t="s">
        <v>84</v>
      </c>
      <c r="C75" s="51" t="s">
        <v>126</v>
      </c>
      <c r="D75" s="51" t="s">
        <v>46</v>
      </c>
      <c r="E75" s="51" t="s">
        <v>128</v>
      </c>
      <c r="F75" s="45" t="str" cm="1">
        <f t="array" ref="F75">_xlfn.IFS(H75="","", H75&lt;=2,"Low", H75&lt;=5,"Mid", H75&lt;=8,"High", TRUE,"Out of Range")</f>
        <v>Low</v>
      </c>
      <c r="G75" s="51" t="s">
        <v>57</v>
      </c>
      <c r="H75" s="52">
        <v>1</v>
      </c>
      <c r="I75" s="53">
        <v>46099</v>
      </c>
      <c r="J75" s="53">
        <v>46099</v>
      </c>
      <c r="K75" s="54">
        <f>H75/$O$6</f>
        <v>1</v>
      </c>
      <c r="L75" s="102" t="s">
        <v>22</v>
      </c>
    </row>
    <row r="76" spans="1:12" hidden="1">
      <c r="A76" s="51" t="s">
        <v>80</v>
      </c>
      <c r="B76" s="81" t="s">
        <v>84</v>
      </c>
      <c r="C76" s="51" t="s">
        <v>126</v>
      </c>
      <c r="D76" s="51" t="s">
        <v>50</v>
      </c>
      <c r="E76" s="51" t="s">
        <v>129</v>
      </c>
      <c r="F76" s="45" t="str" cm="1">
        <f t="array" ref="F76">_xlfn.IFS(H76="","", H76&lt;=2,"Low", H76&lt;=5,"Mid", H76&lt;=8,"High", TRUE,"Out of Range")</f>
        <v>Low</v>
      </c>
      <c r="G76" s="51" t="s">
        <v>62</v>
      </c>
      <c r="H76" s="52">
        <v>1</v>
      </c>
      <c r="I76" s="53">
        <v>46104</v>
      </c>
      <c r="J76" s="53">
        <v>46104</v>
      </c>
      <c r="K76" s="54">
        <f>H76/$O$8</f>
        <v>1</v>
      </c>
      <c r="L76" s="102" t="s">
        <v>22</v>
      </c>
    </row>
    <row r="77" spans="1:12" hidden="1">
      <c r="A77" s="51" t="s">
        <v>80</v>
      </c>
      <c r="B77" s="81" t="s">
        <v>84</v>
      </c>
      <c r="C77" s="51" t="s">
        <v>126</v>
      </c>
      <c r="D77" s="51" t="s">
        <v>50</v>
      </c>
      <c r="E77" s="51" t="s">
        <v>130</v>
      </c>
      <c r="F77" s="45" t="s">
        <v>24</v>
      </c>
      <c r="G77" s="51" t="s">
        <v>86</v>
      </c>
      <c r="H77" s="52">
        <v>2</v>
      </c>
      <c r="I77" s="53">
        <v>46104</v>
      </c>
      <c r="J77" s="53">
        <v>46105</v>
      </c>
      <c r="K77" s="54">
        <f>H77/$O$7</f>
        <v>2</v>
      </c>
      <c r="L77" s="102" t="s">
        <v>22</v>
      </c>
    </row>
    <row r="78" spans="1:12" hidden="1">
      <c r="A78" s="51" t="s">
        <v>97</v>
      </c>
      <c r="B78" s="81" t="s">
        <v>84</v>
      </c>
      <c r="C78" s="51" t="s">
        <v>126</v>
      </c>
      <c r="D78" s="51" t="s">
        <v>55</v>
      </c>
      <c r="E78" s="51" t="s">
        <v>131</v>
      </c>
      <c r="F78" s="45" t="s">
        <v>24</v>
      </c>
      <c r="G78" s="51" t="s">
        <v>57</v>
      </c>
      <c r="H78" s="52">
        <v>1</v>
      </c>
      <c r="I78" s="53">
        <v>46106</v>
      </c>
      <c r="J78" s="53">
        <v>46106</v>
      </c>
      <c r="K78" s="54">
        <f>H78/$O$5</f>
        <v>1</v>
      </c>
      <c r="L78" s="102" t="s">
        <v>22</v>
      </c>
    </row>
    <row r="79" spans="1:12" hidden="1">
      <c r="A79" s="51" t="s">
        <v>97</v>
      </c>
      <c r="B79" s="81" t="s">
        <v>84</v>
      </c>
      <c r="C79" s="51" t="s">
        <v>132</v>
      </c>
      <c r="D79" s="51" t="s">
        <v>46</v>
      </c>
      <c r="E79" s="51" t="s">
        <v>133</v>
      </c>
      <c r="F79" s="45" t="s">
        <v>24</v>
      </c>
      <c r="G79" s="51" t="s">
        <v>57</v>
      </c>
      <c r="H79" s="52">
        <v>2</v>
      </c>
      <c r="I79" s="53">
        <v>46104</v>
      </c>
      <c r="J79" s="53">
        <v>46105</v>
      </c>
      <c r="K79" s="54">
        <f>H79/$O$6</f>
        <v>2</v>
      </c>
      <c r="L79" s="102" t="s">
        <v>22</v>
      </c>
    </row>
    <row r="80" spans="1:12" hidden="1">
      <c r="A80" s="51" t="s">
        <v>100</v>
      </c>
      <c r="B80" s="81" t="s">
        <v>84</v>
      </c>
      <c r="C80" s="51" t="s">
        <v>132</v>
      </c>
      <c r="D80" s="51" t="s">
        <v>46</v>
      </c>
      <c r="E80" s="51" t="s">
        <v>134</v>
      </c>
      <c r="F80" s="45" t="s">
        <v>30</v>
      </c>
      <c r="G80" s="51" t="s">
        <v>57</v>
      </c>
      <c r="H80" s="52">
        <v>2</v>
      </c>
      <c r="I80" s="53">
        <v>46107</v>
      </c>
      <c r="J80" s="53">
        <v>46108</v>
      </c>
      <c r="K80" s="54">
        <f>H80/$O$6</f>
        <v>2</v>
      </c>
      <c r="L80" s="102" t="s">
        <v>22</v>
      </c>
    </row>
    <row r="81" spans="1:12" hidden="1">
      <c r="A81" s="51" t="s">
        <v>100</v>
      </c>
      <c r="B81" s="81" t="s">
        <v>84</v>
      </c>
      <c r="C81" s="51" t="s">
        <v>132</v>
      </c>
      <c r="D81" s="51" t="s">
        <v>50</v>
      </c>
      <c r="E81" s="51" t="s">
        <v>135</v>
      </c>
      <c r="F81" s="45" t="s">
        <v>20</v>
      </c>
      <c r="G81" s="51" t="s">
        <v>62</v>
      </c>
      <c r="H81" s="52">
        <v>3</v>
      </c>
      <c r="I81" s="53">
        <v>46111</v>
      </c>
      <c r="J81" s="53">
        <v>46113</v>
      </c>
      <c r="K81" s="54">
        <f>H81/$O$8</f>
        <v>3</v>
      </c>
      <c r="L81" s="102" t="s">
        <v>22</v>
      </c>
    </row>
    <row r="82" spans="1:12" hidden="1">
      <c r="A82" s="51" t="s">
        <v>100</v>
      </c>
      <c r="B82" s="81" t="s">
        <v>84</v>
      </c>
      <c r="C82" s="51" t="s">
        <v>132</v>
      </c>
      <c r="D82" s="51" t="s">
        <v>50</v>
      </c>
      <c r="E82" s="51" t="s">
        <v>136</v>
      </c>
      <c r="F82" s="45" t="s">
        <v>24</v>
      </c>
      <c r="G82" s="51" t="s">
        <v>86</v>
      </c>
      <c r="H82" s="52">
        <v>5</v>
      </c>
      <c r="I82" s="53">
        <v>46111</v>
      </c>
      <c r="J82" s="53">
        <v>46119</v>
      </c>
      <c r="K82" s="54">
        <f>H82/$O$7</f>
        <v>5</v>
      </c>
      <c r="L82" s="102" t="s">
        <v>22</v>
      </c>
    </row>
    <row r="83" spans="1:12" hidden="1">
      <c r="A83" s="51" t="s">
        <v>107</v>
      </c>
      <c r="B83" s="81" t="s">
        <v>84</v>
      </c>
      <c r="C83" s="51" t="s">
        <v>132</v>
      </c>
      <c r="D83" s="51" t="s">
        <v>55</v>
      </c>
      <c r="E83" s="51" t="s">
        <v>137</v>
      </c>
      <c r="F83" s="45" t="str" cm="1">
        <f t="array" ref="F83">_xlfn.IFS(H83="","", H83&lt;=2,"Low", H83&lt;=5,"Mid", H83&lt;=8,"High", TRUE,"Out of Range")</f>
        <v>Low</v>
      </c>
      <c r="G83" s="51" t="s">
        <v>57</v>
      </c>
      <c r="H83" s="52">
        <v>1</v>
      </c>
      <c r="I83" s="53">
        <v>46120</v>
      </c>
      <c r="J83" s="53">
        <v>46120</v>
      </c>
      <c r="K83" s="54">
        <f>H83/$O$5</f>
        <v>1</v>
      </c>
      <c r="L83" s="102" t="s">
        <v>22</v>
      </c>
    </row>
    <row r="84" spans="1:12" hidden="1">
      <c r="A84" s="51" t="s">
        <v>107</v>
      </c>
      <c r="B84" s="81" t="s">
        <v>84</v>
      </c>
      <c r="C84" s="51" t="s">
        <v>138</v>
      </c>
      <c r="D84" s="51" t="s">
        <v>46</v>
      </c>
      <c r="E84" s="51" t="s">
        <v>139</v>
      </c>
      <c r="F84" s="45" t="str" cm="1">
        <f t="array" ref="F84">_xlfn.IFS(H84="","", H84&lt;=2,"Low", H84&lt;=5,"Mid", H84&lt;=8,"High", TRUE,"Out of Range")</f>
        <v>Low</v>
      </c>
      <c r="G84" s="51" t="s">
        <v>57</v>
      </c>
      <c r="H84" s="52">
        <v>1</v>
      </c>
      <c r="I84" s="53">
        <v>46111</v>
      </c>
      <c r="J84" s="53">
        <v>46111</v>
      </c>
      <c r="K84" s="54">
        <f>H84/$O$6</f>
        <v>1</v>
      </c>
      <c r="L84" s="102" t="s">
        <v>22</v>
      </c>
    </row>
    <row r="85" spans="1:12" hidden="1">
      <c r="A85" s="51" t="s">
        <v>113</v>
      </c>
      <c r="B85" s="81" t="s">
        <v>84</v>
      </c>
      <c r="C85" s="51" t="s">
        <v>138</v>
      </c>
      <c r="D85" s="51" t="s">
        <v>46</v>
      </c>
      <c r="E85" s="51" t="s">
        <v>140</v>
      </c>
      <c r="F85" s="45" t="str" cm="1">
        <f t="array" ref="F85">_xlfn.IFS(H85="","", H85&lt;=2,"Low", H85&lt;=5,"Mid", H85&lt;=8,"High", TRUE,"Out of Range")</f>
        <v>Low</v>
      </c>
      <c r="G85" s="51" t="s">
        <v>57</v>
      </c>
      <c r="H85" s="52">
        <v>2</v>
      </c>
      <c r="I85" s="53">
        <v>46112</v>
      </c>
      <c r="J85" s="53">
        <v>46113</v>
      </c>
      <c r="K85" s="54">
        <f>H85/$O$6</f>
        <v>2</v>
      </c>
      <c r="L85" s="102" t="s">
        <v>22</v>
      </c>
    </row>
    <row r="86" spans="1:12" hidden="1">
      <c r="A86" s="51" t="s">
        <v>113</v>
      </c>
      <c r="B86" s="81" t="s">
        <v>84</v>
      </c>
      <c r="C86" s="51" t="s">
        <v>138</v>
      </c>
      <c r="D86" s="51" t="s">
        <v>50</v>
      </c>
      <c r="E86" s="51" t="s">
        <v>141</v>
      </c>
      <c r="F86" s="45" t="str" cm="1">
        <f t="array" ref="F86">_xlfn.IFS(H86="","", H86&lt;=2,"Low", H86&lt;=5,"Mid", H86&lt;=8,"High", TRUE,"Out of Range")</f>
        <v>Low</v>
      </c>
      <c r="G86" s="51" t="s">
        <v>62</v>
      </c>
      <c r="H86" s="52">
        <v>2</v>
      </c>
      <c r="I86" s="53">
        <v>46114</v>
      </c>
      <c r="J86" s="53">
        <v>46119</v>
      </c>
      <c r="K86" s="54">
        <f>H86/$O$8</f>
        <v>2</v>
      </c>
      <c r="L86" s="102" t="s">
        <v>22</v>
      </c>
    </row>
    <row r="87" spans="1:12" hidden="1">
      <c r="A87" s="51" t="s">
        <v>115</v>
      </c>
      <c r="B87" s="81" t="s">
        <v>84</v>
      </c>
      <c r="C87" s="51" t="s">
        <v>138</v>
      </c>
      <c r="D87" s="51" t="s">
        <v>50</v>
      </c>
      <c r="E87" s="51" t="s">
        <v>142</v>
      </c>
      <c r="F87" s="45" t="str" cm="1">
        <f t="array" ref="F87">_xlfn.IFS(H87="","", H87&lt;=2,"Low", H87&lt;=5,"Mid", H87&lt;=8,"High", TRUE,"Out of Range")</f>
        <v>Mid</v>
      </c>
      <c r="G87" s="51" t="s">
        <v>86</v>
      </c>
      <c r="H87" s="52">
        <v>4</v>
      </c>
      <c r="I87" s="53">
        <v>46120</v>
      </c>
      <c r="J87" s="53">
        <v>46125</v>
      </c>
      <c r="K87" s="54">
        <f>H87/$O$7</f>
        <v>4</v>
      </c>
      <c r="L87" s="102" t="s">
        <v>22</v>
      </c>
    </row>
    <row r="88" spans="1:12" hidden="1">
      <c r="A88" s="51" t="s">
        <v>121</v>
      </c>
      <c r="B88" s="81" t="s">
        <v>84</v>
      </c>
      <c r="C88" s="51" t="s">
        <v>138</v>
      </c>
      <c r="D88" s="51" t="s">
        <v>55</v>
      </c>
      <c r="E88" s="51" t="s">
        <v>143</v>
      </c>
      <c r="F88" s="45" t="str" cm="1">
        <f t="array" ref="F88">_xlfn.IFS(H88="","", H88&lt;=2,"Low", H88&lt;=5,"Mid", H88&lt;=8,"High", TRUE,"Out of Range")</f>
        <v>Low</v>
      </c>
      <c r="G88" s="51" t="s">
        <v>57</v>
      </c>
      <c r="H88" s="52">
        <v>2</v>
      </c>
      <c r="I88" s="53">
        <v>46126</v>
      </c>
      <c r="J88" s="53">
        <v>46127</v>
      </c>
      <c r="K88" s="54">
        <f>H88/$O$5</f>
        <v>2</v>
      </c>
      <c r="L88" s="102" t="s">
        <v>22</v>
      </c>
    </row>
    <row r="89" spans="1:12" hidden="1">
      <c r="A89" s="51" t="s">
        <v>121</v>
      </c>
      <c r="B89" s="81" t="s">
        <v>84</v>
      </c>
      <c r="C89" s="51" t="s">
        <v>144</v>
      </c>
      <c r="D89" s="51" t="s">
        <v>46</v>
      </c>
      <c r="E89" s="51" t="s">
        <v>145</v>
      </c>
      <c r="F89" s="45" t="s">
        <v>24</v>
      </c>
      <c r="G89" s="51" t="s">
        <v>57</v>
      </c>
      <c r="H89" s="52">
        <v>1</v>
      </c>
      <c r="I89" s="53">
        <v>46114</v>
      </c>
      <c r="J89" s="53">
        <v>46114</v>
      </c>
      <c r="K89" s="54">
        <f>H89/$O$6</f>
        <v>1</v>
      </c>
      <c r="L89" s="102" t="s">
        <v>22</v>
      </c>
    </row>
    <row r="90" spans="1:12" hidden="1">
      <c r="A90" s="51" t="s">
        <v>121</v>
      </c>
      <c r="B90" s="81" t="s">
        <v>84</v>
      </c>
      <c r="C90" s="51" t="s">
        <v>144</v>
      </c>
      <c r="D90" s="51" t="s">
        <v>46</v>
      </c>
      <c r="E90" s="51" t="s">
        <v>146</v>
      </c>
      <c r="F90" s="45" t="s">
        <v>24</v>
      </c>
      <c r="G90" s="51" t="s">
        <v>57</v>
      </c>
      <c r="H90" s="52">
        <v>1</v>
      </c>
      <c r="I90" s="53">
        <v>46121</v>
      </c>
      <c r="J90" s="53">
        <v>46121</v>
      </c>
      <c r="K90" s="54">
        <f>H90/$O$6</f>
        <v>1</v>
      </c>
      <c r="L90" s="102" t="s">
        <v>22</v>
      </c>
    </row>
    <row r="91" spans="1:12" hidden="1">
      <c r="A91" s="51" t="s">
        <v>125</v>
      </c>
      <c r="B91" s="81" t="s">
        <v>84</v>
      </c>
      <c r="C91" s="51" t="s">
        <v>144</v>
      </c>
      <c r="D91" s="51" t="s">
        <v>50</v>
      </c>
      <c r="E91" s="51" t="s">
        <v>147</v>
      </c>
      <c r="F91" s="45" t="s">
        <v>24</v>
      </c>
      <c r="G91" s="51" t="s">
        <v>62</v>
      </c>
      <c r="H91" s="52">
        <v>2</v>
      </c>
      <c r="I91" s="53">
        <v>46122</v>
      </c>
      <c r="J91" s="53">
        <v>46125</v>
      </c>
      <c r="K91" s="54">
        <f>H91/$O$8</f>
        <v>2</v>
      </c>
      <c r="L91" s="102" t="s">
        <v>22</v>
      </c>
    </row>
    <row r="92" spans="1:12" hidden="1">
      <c r="A92" s="51" t="s">
        <v>125</v>
      </c>
      <c r="B92" s="81" t="s">
        <v>84</v>
      </c>
      <c r="C92" s="51" t="s">
        <v>144</v>
      </c>
      <c r="D92" s="51" t="s">
        <v>50</v>
      </c>
      <c r="E92" s="51" t="s">
        <v>148</v>
      </c>
      <c r="F92" s="45" t="s">
        <v>30</v>
      </c>
      <c r="G92" s="51" t="s">
        <v>86</v>
      </c>
      <c r="H92" s="52">
        <v>3</v>
      </c>
      <c r="I92" s="53">
        <v>46126</v>
      </c>
      <c r="J92" s="53">
        <v>46128</v>
      </c>
      <c r="K92" s="54">
        <f>H92/$O$7</f>
        <v>3</v>
      </c>
      <c r="L92" s="102" t="s">
        <v>22</v>
      </c>
    </row>
    <row r="93" spans="1:12" hidden="1">
      <c r="A93" s="51" t="s">
        <v>149</v>
      </c>
      <c r="B93" s="81" t="s">
        <v>84</v>
      </c>
      <c r="C93" s="51" t="s">
        <v>144</v>
      </c>
      <c r="D93" s="51" t="s">
        <v>55</v>
      </c>
      <c r="E93" s="51" t="s">
        <v>150</v>
      </c>
      <c r="F93" s="45" t="s">
        <v>20</v>
      </c>
      <c r="G93" s="51" t="s">
        <v>57</v>
      </c>
      <c r="H93" s="52">
        <v>1</v>
      </c>
      <c r="I93" s="53">
        <v>46129</v>
      </c>
      <c r="J93" s="53">
        <v>46129</v>
      </c>
      <c r="K93" s="54">
        <f>H93/$O$5</f>
        <v>1</v>
      </c>
      <c r="L93" s="102" t="s">
        <v>22</v>
      </c>
    </row>
    <row r="94" spans="1:12" hidden="1">
      <c r="A94" s="51" t="s">
        <v>151</v>
      </c>
      <c r="B94" s="81" t="s">
        <v>84</v>
      </c>
      <c r="C94" s="51" t="s">
        <v>152</v>
      </c>
      <c r="D94" s="51" t="s">
        <v>46</v>
      </c>
      <c r="E94" s="51" t="s">
        <v>153</v>
      </c>
      <c r="F94" s="45" t="s">
        <v>24</v>
      </c>
      <c r="G94" s="51" t="s">
        <v>57</v>
      </c>
      <c r="H94" s="52">
        <v>2</v>
      </c>
      <c r="I94" s="53">
        <v>46122</v>
      </c>
      <c r="J94" s="53">
        <v>46125</v>
      </c>
      <c r="K94" s="54">
        <f>H94/$O$6</f>
        <v>2</v>
      </c>
      <c r="L94" s="102" t="s">
        <v>22</v>
      </c>
    </row>
    <row r="95" spans="1:12" hidden="1">
      <c r="A95" s="51" t="s">
        <v>151</v>
      </c>
      <c r="B95" s="81" t="s">
        <v>84</v>
      </c>
      <c r="C95" s="51" t="s">
        <v>152</v>
      </c>
      <c r="D95" s="51" t="s">
        <v>46</v>
      </c>
      <c r="E95" s="51" t="s">
        <v>154</v>
      </c>
      <c r="F95" s="45" t="str" cm="1">
        <f t="array" ref="F95">_xlfn.IFS(H95="","", H95&lt;=2,"Low", H95&lt;=5,"Mid", H95&lt;=8,"High", TRUE,"Out of Range")</f>
        <v>Low</v>
      </c>
      <c r="G95" s="51" t="s">
        <v>57</v>
      </c>
      <c r="H95" s="52">
        <v>2</v>
      </c>
      <c r="I95" s="53">
        <v>46132</v>
      </c>
      <c r="J95" s="53">
        <v>46133</v>
      </c>
      <c r="K95" s="54">
        <f>H95/$O$6</f>
        <v>2</v>
      </c>
      <c r="L95" s="102" t="s">
        <v>22</v>
      </c>
    </row>
    <row r="96" spans="1:12" hidden="1">
      <c r="A96" s="51" t="s">
        <v>151</v>
      </c>
      <c r="B96" s="81" t="s">
        <v>84</v>
      </c>
      <c r="C96" s="51" t="s">
        <v>152</v>
      </c>
      <c r="D96" s="51" t="s">
        <v>50</v>
      </c>
      <c r="E96" s="51" t="s">
        <v>155</v>
      </c>
      <c r="F96" s="45" t="str" cm="1">
        <f t="array" ref="F96">_xlfn.IFS(H96="","", H96&lt;=2,"Low", H96&lt;=5,"Mid", H96&lt;=8,"High", TRUE,"Out of Range")</f>
        <v>Low</v>
      </c>
      <c r="G96" s="51" t="s">
        <v>62</v>
      </c>
      <c r="H96" s="52">
        <v>2</v>
      </c>
      <c r="I96" s="53">
        <v>46134</v>
      </c>
      <c r="J96" s="53">
        <v>46135</v>
      </c>
      <c r="K96" s="54">
        <f>H96/$O$8</f>
        <v>2</v>
      </c>
      <c r="L96" s="102" t="s">
        <v>22</v>
      </c>
    </row>
    <row r="97" spans="1:12" hidden="1">
      <c r="A97" s="51" t="s">
        <v>156</v>
      </c>
      <c r="B97" s="81" t="s">
        <v>84</v>
      </c>
      <c r="C97" s="51" t="s">
        <v>152</v>
      </c>
      <c r="D97" s="51" t="s">
        <v>50</v>
      </c>
      <c r="E97" s="51" t="s">
        <v>157</v>
      </c>
      <c r="F97" s="45" t="str" cm="1">
        <f t="array" ref="F97">_xlfn.IFS(H97="","", H97&lt;=2,"Low", H97&lt;=5,"Mid", H97&lt;=8,"High", TRUE,"Out of Range")</f>
        <v>Mid</v>
      </c>
      <c r="G97" s="51" t="s">
        <v>86</v>
      </c>
      <c r="H97" s="52">
        <v>5</v>
      </c>
      <c r="I97" s="53">
        <v>46134</v>
      </c>
      <c r="J97" s="53">
        <v>46140</v>
      </c>
      <c r="K97" s="54">
        <f>H97/$O$7</f>
        <v>5</v>
      </c>
      <c r="L97" s="102" t="s">
        <v>22</v>
      </c>
    </row>
    <row r="98" spans="1:12" hidden="1">
      <c r="A98" s="51" t="s">
        <v>156</v>
      </c>
      <c r="B98" s="81" t="s">
        <v>84</v>
      </c>
      <c r="C98" s="51" t="s">
        <v>152</v>
      </c>
      <c r="D98" s="51" t="s">
        <v>55</v>
      </c>
      <c r="E98" s="51" t="s">
        <v>158</v>
      </c>
      <c r="F98" s="45" t="str" cm="1">
        <f t="array" ref="F98">_xlfn.IFS(H98="","", H98&lt;=2,"Low", H98&lt;=5,"Mid", H98&lt;=8,"High", TRUE,"Out of Range")</f>
        <v>Low</v>
      </c>
      <c r="G98" s="51" t="s">
        <v>57</v>
      </c>
      <c r="H98" s="52">
        <v>2</v>
      </c>
      <c r="I98" s="53">
        <v>46141</v>
      </c>
      <c r="J98" s="53">
        <v>46142</v>
      </c>
      <c r="K98" s="54">
        <f>H98/$O$5</f>
        <v>2</v>
      </c>
      <c r="L98" s="102" t="s">
        <v>22</v>
      </c>
    </row>
    <row r="99" spans="1:12" hidden="1">
      <c r="A99" s="51" t="s">
        <v>159</v>
      </c>
      <c r="B99" s="81" t="s">
        <v>84</v>
      </c>
      <c r="C99" s="51" t="s">
        <v>160</v>
      </c>
      <c r="D99" s="51" t="s">
        <v>46</v>
      </c>
      <c r="E99" s="51" t="s">
        <v>161</v>
      </c>
      <c r="F99" s="45" t="str" cm="1">
        <f t="array" ref="F99">_xlfn.IFS(H99="","", H99&lt;=2,"Low", H99&lt;=5,"Mid", H99&lt;=8,"High", TRUE,"Out of Range")</f>
        <v>Low</v>
      </c>
      <c r="G99" s="51" t="s">
        <v>57</v>
      </c>
      <c r="H99" s="52">
        <v>1</v>
      </c>
      <c r="I99" s="53">
        <v>46134</v>
      </c>
      <c r="J99" s="53">
        <v>46134</v>
      </c>
      <c r="K99" s="54">
        <f>H99/$O$6</f>
        <v>1</v>
      </c>
      <c r="L99" s="102" t="s">
        <v>22</v>
      </c>
    </row>
    <row r="100" spans="1:12" hidden="1">
      <c r="A100" s="51" t="s">
        <v>159</v>
      </c>
      <c r="B100" s="81" t="s">
        <v>84</v>
      </c>
      <c r="C100" s="51" t="s">
        <v>160</v>
      </c>
      <c r="D100" s="51" t="s">
        <v>46</v>
      </c>
      <c r="E100" s="51" t="s">
        <v>162</v>
      </c>
      <c r="F100" s="45" t="str" cm="1">
        <f t="array" ref="F100">_xlfn.IFS(H100="","", H100&lt;=2,"Low", H100&lt;=5,"Mid", H100&lt;=8,"High", TRUE,"Out of Range")</f>
        <v>Low</v>
      </c>
      <c r="G100" s="51" t="s">
        <v>57</v>
      </c>
      <c r="H100" s="52">
        <v>1</v>
      </c>
      <c r="I100" s="53">
        <v>46135</v>
      </c>
      <c r="J100" s="53">
        <v>46135</v>
      </c>
      <c r="K100" s="54">
        <f>H100/$O$6</f>
        <v>1</v>
      </c>
      <c r="L100" s="102" t="s">
        <v>22</v>
      </c>
    </row>
    <row r="101" spans="1:12" hidden="1">
      <c r="A101" s="51" t="s">
        <v>159</v>
      </c>
      <c r="B101" s="81" t="s">
        <v>84</v>
      </c>
      <c r="C101" s="51" t="s">
        <v>160</v>
      </c>
      <c r="D101" s="51" t="s">
        <v>50</v>
      </c>
      <c r="E101" s="51" t="s">
        <v>163</v>
      </c>
      <c r="F101" s="45" t="s">
        <v>24</v>
      </c>
      <c r="G101" s="51" t="s">
        <v>62</v>
      </c>
      <c r="H101" s="52">
        <v>2</v>
      </c>
      <c r="I101" s="53">
        <v>46136</v>
      </c>
      <c r="J101" s="53">
        <v>46139</v>
      </c>
      <c r="K101" s="54">
        <f>H101/$O$8</f>
        <v>2</v>
      </c>
      <c r="L101" s="102" t="s">
        <v>22</v>
      </c>
    </row>
    <row r="102" spans="1:12" hidden="1">
      <c r="A102" s="51" t="s">
        <v>164</v>
      </c>
      <c r="B102" s="81" t="s">
        <v>84</v>
      </c>
      <c r="C102" s="51" t="s">
        <v>160</v>
      </c>
      <c r="D102" s="51" t="s">
        <v>50</v>
      </c>
      <c r="E102" s="51" t="s">
        <v>165</v>
      </c>
      <c r="F102" s="45" t="s">
        <v>24</v>
      </c>
      <c r="G102" s="51" t="s">
        <v>86</v>
      </c>
      <c r="H102" s="52">
        <v>3</v>
      </c>
      <c r="I102" s="53">
        <v>46141</v>
      </c>
      <c r="J102" s="53">
        <v>46146</v>
      </c>
      <c r="K102" s="54">
        <f>H102/$O$7</f>
        <v>3</v>
      </c>
      <c r="L102" s="102" t="s">
        <v>22</v>
      </c>
    </row>
    <row r="103" spans="1:12" hidden="1">
      <c r="A103" s="51" t="s">
        <v>166</v>
      </c>
      <c r="B103" s="81" t="s">
        <v>84</v>
      </c>
      <c r="C103" s="51" t="s">
        <v>160</v>
      </c>
      <c r="D103" s="51" t="s">
        <v>55</v>
      </c>
      <c r="E103" s="51" t="s">
        <v>167</v>
      </c>
      <c r="F103" s="45" t="s">
        <v>24</v>
      </c>
      <c r="G103" s="51" t="s">
        <v>57</v>
      </c>
      <c r="H103" s="52">
        <v>1</v>
      </c>
      <c r="I103" s="53">
        <v>46147</v>
      </c>
      <c r="J103" s="53">
        <v>46147</v>
      </c>
      <c r="K103" s="54">
        <f>H103/$O$5</f>
        <v>1</v>
      </c>
      <c r="L103" s="102" t="s">
        <v>22</v>
      </c>
    </row>
    <row r="104" spans="1:12" hidden="1">
      <c r="A104" s="51" t="s">
        <v>166</v>
      </c>
      <c r="B104" s="81" t="s">
        <v>84</v>
      </c>
      <c r="C104" s="51" t="s">
        <v>168</v>
      </c>
      <c r="D104" s="51" t="s">
        <v>46</v>
      </c>
      <c r="E104" s="51" t="s">
        <v>169</v>
      </c>
      <c r="F104" s="45" t="s">
        <v>30</v>
      </c>
      <c r="G104" s="51" t="s">
        <v>57</v>
      </c>
      <c r="H104" s="52">
        <v>2</v>
      </c>
      <c r="I104" s="53">
        <v>46136</v>
      </c>
      <c r="J104" s="53">
        <v>46139</v>
      </c>
      <c r="K104" s="54">
        <f>H104/$O$6</f>
        <v>2</v>
      </c>
      <c r="L104" s="102" t="s">
        <v>22</v>
      </c>
    </row>
    <row r="105" spans="1:12" hidden="1">
      <c r="A105" s="51" t="s">
        <v>166</v>
      </c>
      <c r="B105" s="81" t="s">
        <v>84</v>
      </c>
      <c r="C105" s="51" t="s">
        <v>168</v>
      </c>
      <c r="D105" s="51" t="s">
        <v>46</v>
      </c>
      <c r="E105" s="51" t="s">
        <v>170</v>
      </c>
      <c r="F105" s="45" t="s">
        <v>20</v>
      </c>
      <c r="G105" s="51" t="s">
        <v>57</v>
      </c>
      <c r="H105" s="52">
        <v>2</v>
      </c>
      <c r="I105" s="53">
        <v>46140</v>
      </c>
      <c r="J105" s="53">
        <v>46146</v>
      </c>
      <c r="K105" s="54">
        <f>H105/$O$6</f>
        <v>2</v>
      </c>
      <c r="L105" s="102" t="s">
        <v>22</v>
      </c>
    </row>
    <row r="106" spans="1:12" hidden="1">
      <c r="A106" s="51" t="s">
        <v>166</v>
      </c>
      <c r="B106" s="81" t="s">
        <v>84</v>
      </c>
      <c r="C106" s="51" t="s">
        <v>168</v>
      </c>
      <c r="D106" s="51" t="s">
        <v>50</v>
      </c>
      <c r="E106" s="51" t="s">
        <v>171</v>
      </c>
      <c r="F106" s="45" t="s">
        <v>24</v>
      </c>
      <c r="G106" s="51" t="s">
        <v>62</v>
      </c>
      <c r="H106" s="52">
        <v>3</v>
      </c>
      <c r="I106" s="53">
        <v>46147</v>
      </c>
      <c r="J106" s="53">
        <v>46149</v>
      </c>
      <c r="K106" s="54">
        <f>H106/$O$8</f>
        <v>3</v>
      </c>
      <c r="L106" s="102" t="s">
        <v>22</v>
      </c>
    </row>
    <row r="107" spans="1:12" hidden="1">
      <c r="A107" s="51" t="s">
        <v>172</v>
      </c>
      <c r="B107" s="81" t="s">
        <v>84</v>
      </c>
      <c r="C107" s="51" t="s">
        <v>168</v>
      </c>
      <c r="D107" s="51" t="s">
        <v>50</v>
      </c>
      <c r="E107" s="51" t="s">
        <v>173</v>
      </c>
      <c r="F107" s="45" t="str" cm="1">
        <f t="array" ref="F107">_xlfn.IFS(H107="","", H107&lt;=2,"Low", H107&lt;=5,"Mid", H107&lt;=8,"High", TRUE,"Out of Range")</f>
        <v>Mid</v>
      </c>
      <c r="G107" s="51" t="s">
        <v>86</v>
      </c>
      <c r="H107" s="52">
        <v>5</v>
      </c>
      <c r="I107" s="53">
        <v>46147</v>
      </c>
      <c r="J107" s="53">
        <v>46153</v>
      </c>
      <c r="K107" s="54">
        <f>H107/$O$7</f>
        <v>5</v>
      </c>
      <c r="L107" s="102" t="s">
        <v>22</v>
      </c>
    </row>
    <row r="108" spans="1:12" hidden="1">
      <c r="A108" s="51" t="s">
        <v>172</v>
      </c>
      <c r="B108" s="81" t="s">
        <v>84</v>
      </c>
      <c r="C108" s="51" t="s">
        <v>168</v>
      </c>
      <c r="D108" s="51" t="s">
        <v>55</v>
      </c>
      <c r="E108" s="51" t="s">
        <v>174</v>
      </c>
      <c r="F108" s="45" t="str" cm="1">
        <f t="array" ref="F108">_xlfn.IFS(H108="","", H108&lt;=2,"Low", H108&lt;=5,"Mid", H108&lt;=8,"High", TRUE,"Out of Range")</f>
        <v>Low</v>
      </c>
      <c r="G108" s="51" t="s">
        <v>57</v>
      </c>
      <c r="H108" s="52">
        <v>1</v>
      </c>
      <c r="I108" s="53">
        <v>46154</v>
      </c>
      <c r="J108" s="53">
        <v>46154</v>
      </c>
      <c r="K108" s="54">
        <f>H108/$O$5</f>
        <v>1</v>
      </c>
      <c r="L108" s="102" t="s">
        <v>22</v>
      </c>
    </row>
    <row r="109" spans="1:12" hidden="1">
      <c r="A109" s="51" t="s">
        <v>149</v>
      </c>
      <c r="B109" s="81" t="s">
        <v>84</v>
      </c>
      <c r="C109" s="51" t="s">
        <v>175</v>
      </c>
      <c r="D109" s="51" t="s">
        <v>46</v>
      </c>
      <c r="E109" s="51" t="s">
        <v>176</v>
      </c>
      <c r="F109" s="45" t="str" cm="1">
        <f t="array" ref="F109">_xlfn.IFS(H109="","", H109&lt;=2,"Low", H109&lt;=5,"Mid", H109&lt;=8,"High", TRUE,"Out of Range")</f>
        <v>Low</v>
      </c>
      <c r="G109" s="51" t="s">
        <v>57</v>
      </c>
      <c r="H109" s="52">
        <v>1</v>
      </c>
      <c r="I109" s="53">
        <v>46148</v>
      </c>
      <c r="J109" s="53">
        <v>46148</v>
      </c>
      <c r="K109" s="54">
        <f>H109/$O$5</f>
        <v>1</v>
      </c>
      <c r="L109" s="102" t="s">
        <v>22</v>
      </c>
    </row>
    <row r="110" spans="1:12" hidden="1">
      <c r="A110" s="51" t="s">
        <v>149</v>
      </c>
      <c r="B110" s="81" t="s">
        <v>84</v>
      </c>
      <c r="C110" s="51" t="s">
        <v>175</v>
      </c>
      <c r="D110" s="51" t="s">
        <v>46</v>
      </c>
      <c r="E110" s="51" t="s">
        <v>177</v>
      </c>
      <c r="F110" s="45" t="str" cm="1">
        <f t="array" ref="F110">_xlfn.IFS(H110="","", H110&lt;=2,"Low", H110&lt;=5,"Mid", H110&lt;=8,"High", TRUE,"Out of Range")</f>
        <v>Low</v>
      </c>
      <c r="G110" s="51" t="s">
        <v>57</v>
      </c>
      <c r="H110" s="52">
        <v>2</v>
      </c>
      <c r="I110" s="53">
        <v>46149</v>
      </c>
      <c r="J110" s="53">
        <v>46150</v>
      </c>
      <c r="K110" s="54">
        <f>H110/$O$5</f>
        <v>2</v>
      </c>
      <c r="L110" s="102" t="s">
        <v>22</v>
      </c>
    </row>
    <row r="111" spans="1:12" hidden="1">
      <c r="A111" s="51" t="s">
        <v>149</v>
      </c>
      <c r="B111" s="81" t="s">
        <v>84</v>
      </c>
      <c r="C111" s="51" t="s">
        <v>175</v>
      </c>
      <c r="D111" s="51" t="s">
        <v>50</v>
      </c>
      <c r="E111" s="51" t="s">
        <v>178</v>
      </c>
      <c r="F111" s="45" t="str" cm="1">
        <f t="array" ref="F111">_xlfn.IFS(H111="","", H111&lt;=2,"Low", H111&lt;=5,"Mid", H111&lt;=8,"High", TRUE,"Out of Range")</f>
        <v>Low</v>
      </c>
      <c r="G111" s="51" t="s">
        <v>62</v>
      </c>
      <c r="H111" s="52">
        <v>2</v>
      </c>
      <c r="I111" s="53">
        <v>46153</v>
      </c>
      <c r="J111" s="53">
        <v>46154</v>
      </c>
      <c r="K111" s="54">
        <f>H111/$O$8</f>
        <v>2</v>
      </c>
      <c r="L111" s="102" t="s">
        <v>22</v>
      </c>
    </row>
    <row r="112" spans="1:12" hidden="1">
      <c r="A112" s="51" t="s">
        <v>151</v>
      </c>
      <c r="B112" s="81" t="s">
        <v>84</v>
      </c>
      <c r="C112" s="51" t="s">
        <v>175</v>
      </c>
      <c r="D112" s="51" t="s">
        <v>50</v>
      </c>
      <c r="E112" s="51" t="s">
        <v>179</v>
      </c>
      <c r="F112" s="45" t="str" cm="1">
        <f t="array" ref="F112">_xlfn.IFS(H112="","", H112&lt;=2,"Low", H112&lt;=5,"Mid", H112&lt;=8,"High", TRUE,"Out of Range")</f>
        <v>Mid</v>
      </c>
      <c r="G112" s="51" t="s">
        <v>18</v>
      </c>
      <c r="H112" s="52">
        <v>3</v>
      </c>
      <c r="I112" s="53">
        <v>46154</v>
      </c>
      <c r="J112" s="53">
        <v>46156</v>
      </c>
      <c r="K112" s="54">
        <f>H112/$O$5</f>
        <v>3</v>
      </c>
      <c r="L112" s="102" t="s">
        <v>22</v>
      </c>
    </row>
    <row r="113" spans="1:12" hidden="1">
      <c r="A113" s="51" t="s">
        <v>151</v>
      </c>
      <c r="B113" s="81" t="s">
        <v>84</v>
      </c>
      <c r="C113" s="51" t="s">
        <v>175</v>
      </c>
      <c r="D113" s="51" t="s">
        <v>55</v>
      </c>
      <c r="E113" s="51" t="s">
        <v>180</v>
      </c>
      <c r="F113" s="45" t="s">
        <v>24</v>
      </c>
      <c r="G113" s="51" t="s">
        <v>57</v>
      </c>
      <c r="H113" s="52">
        <v>1</v>
      </c>
      <c r="I113" s="53">
        <v>46157</v>
      </c>
      <c r="J113" s="53">
        <v>46157</v>
      </c>
      <c r="K113" s="54">
        <f>H113/$O$5</f>
        <v>1</v>
      </c>
      <c r="L113" s="102" t="s">
        <v>22</v>
      </c>
    </row>
    <row r="114" spans="1:12" hidden="1">
      <c r="A114" s="51" t="s">
        <v>156</v>
      </c>
      <c r="B114" s="81" t="s">
        <v>84</v>
      </c>
      <c r="C114" s="51" t="s">
        <v>181</v>
      </c>
      <c r="D114" s="51" t="s">
        <v>46</v>
      </c>
      <c r="E114" s="51" t="s">
        <v>182</v>
      </c>
      <c r="F114" s="45" t="s">
        <v>24</v>
      </c>
      <c r="G114" s="51" t="s">
        <v>57</v>
      </c>
      <c r="H114" s="52">
        <v>1</v>
      </c>
      <c r="I114" s="53">
        <v>46153</v>
      </c>
      <c r="J114" s="53">
        <v>46153</v>
      </c>
      <c r="K114" s="54">
        <f>H114/$O$5</f>
        <v>1</v>
      </c>
      <c r="L114" s="102" t="s">
        <v>22</v>
      </c>
    </row>
    <row r="115" spans="1:12" hidden="1">
      <c r="A115" s="51" t="s">
        <v>156</v>
      </c>
      <c r="B115" s="81" t="s">
        <v>84</v>
      </c>
      <c r="C115" s="51" t="s">
        <v>181</v>
      </c>
      <c r="D115" s="51" t="s">
        <v>46</v>
      </c>
      <c r="E115" s="51" t="s">
        <v>183</v>
      </c>
      <c r="F115" s="45" t="s">
        <v>24</v>
      </c>
      <c r="G115" s="51" t="s">
        <v>57</v>
      </c>
      <c r="H115" s="52">
        <v>1</v>
      </c>
      <c r="I115" s="53">
        <v>46155</v>
      </c>
      <c r="J115" s="53">
        <v>46155</v>
      </c>
      <c r="K115" s="54">
        <f>H115/$O$5</f>
        <v>1</v>
      </c>
      <c r="L115" s="102" t="s">
        <v>22</v>
      </c>
    </row>
    <row r="116" spans="1:12" hidden="1">
      <c r="A116" s="51" t="s">
        <v>156</v>
      </c>
      <c r="B116" s="81" t="s">
        <v>84</v>
      </c>
      <c r="C116" s="51" t="s">
        <v>181</v>
      </c>
      <c r="D116" s="51" t="s">
        <v>50</v>
      </c>
      <c r="E116" s="51" t="s">
        <v>184</v>
      </c>
      <c r="F116" s="45" t="s">
        <v>30</v>
      </c>
      <c r="G116" s="51" t="s">
        <v>62</v>
      </c>
      <c r="H116" s="52">
        <v>2</v>
      </c>
      <c r="I116" s="53">
        <v>46156</v>
      </c>
      <c r="J116" s="53">
        <v>46157</v>
      </c>
      <c r="K116" s="54">
        <f>H116/$O$8</f>
        <v>2</v>
      </c>
      <c r="L116" s="102" t="s">
        <v>22</v>
      </c>
    </row>
    <row r="117" spans="1:12" hidden="1">
      <c r="A117" s="51" t="s">
        <v>156</v>
      </c>
      <c r="B117" s="81" t="s">
        <v>84</v>
      </c>
      <c r="C117" s="51" t="s">
        <v>181</v>
      </c>
      <c r="D117" s="51" t="s">
        <v>50</v>
      </c>
      <c r="E117" s="51" t="s">
        <v>185</v>
      </c>
      <c r="F117" s="45" t="s">
        <v>20</v>
      </c>
      <c r="G117" s="51" t="s">
        <v>18</v>
      </c>
      <c r="H117" s="52">
        <v>2</v>
      </c>
      <c r="I117" s="53">
        <v>46157</v>
      </c>
      <c r="J117" s="53">
        <v>46160</v>
      </c>
      <c r="K117" s="54">
        <f>H117/$O$5</f>
        <v>2</v>
      </c>
      <c r="L117" s="102" t="s">
        <v>22</v>
      </c>
    </row>
    <row r="118" spans="1:12" hidden="1">
      <c r="A118" s="51" t="s">
        <v>159</v>
      </c>
      <c r="B118" s="81" t="s">
        <v>84</v>
      </c>
      <c r="C118" s="51" t="s">
        <v>181</v>
      </c>
      <c r="D118" s="51" t="s">
        <v>55</v>
      </c>
      <c r="E118" s="51" t="s">
        <v>186</v>
      </c>
      <c r="F118" s="45" t="s">
        <v>24</v>
      </c>
      <c r="G118" s="51" t="s">
        <v>57</v>
      </c>
      <c r="H118" s="52">
        <v>1</v>
      </c>
      <c r="I118" s="53">
        <v>46161</v>
      </c>
      <c r="J118" s="53">
        <v>46161</v>
      </c>
      <c r="K118" s="54">
        <f>H118/$O$5</f>
        <v>1</v>
      </c>
      <c r="L118" s="102" t="s">
        <v>22</v>
      </c>
    </row>
    <row r="119" spans="1:12" hidden="1">
      <c r="A119" s="51" t="s">
        <v>159</v>
      </c>
      <c r="B119" s="81" t="s">
        <v>84</v>
      </c>
      <c r="C119" s="51" t="s">
        <v>187</v>
      </c>
      <c r="D119" s="51" t="s">
        <v>46</v>
      </c>
      <c r="E119" s="51" t="s">
        <v>188</v>
      </c>
      <c r="F119" s="45" t="str" cm="1">
        <f t="array" ref="F119">_xlfn.IFS(H119="","", H119&lt;=2,"Low", H119&lt;=5,"Mid", H119&lt;=8,"High", TRUE,"Out of Range")</f>
        <v>Low</v>
      </c>
      <c r="G119" s="51" t="s">
        <v>57</v>
      </c>
      <c r="H119" s="52">
        <v>1</v>
      </c>
      <c r="I119" s="53">
        <v>46160</v>
      </c>
      <c r="J119" s="53">
        <v>46160</v>
      </c>
      <c r="K119" s="54">
        <f>H119/$O$5</f>
        <v>1</v>
      </c>
      <c r="L119" s="102" t="s">
        <v>22</v>
      </c>
    </row>
    <row r="120" spans="1:12" hidden="1">
      <c r="A120" s="51" t="s">
        <v>159</v>
      </c>
      <c r="B120" s="81" t="s">
        <v>84</v>
      </c>
      <c r="C120" s="51" t="s">
        <v>187</v>
      </c>
      <c r="D120" s="51" t="s">
        <v>46</v>
      </c>
      <c r="E120" s="51" t="s">
        <v>189</v>
      </c>
      <c r="F120" s="45" t="str" cm="1">
        <f t="array" ref="F120">_xlfn.IFS(H120="","", H120&lt;=2,"Low", H120&lt;=5,"Mid", H120&lt;=8,"High", TRUE,"Out of Range")</f>
        <v>Low</v>
      </c>
      <c r="G120" s="51" t="s">
        <v>57</v>
      </c>
      <c r="H120" s="52">
        <v>2</v>
      </c>
      <c r="I120" s="53">
        <v>46162</v>
      </c>
      <c r="J120" s="53">
        <v>46163</v>
      </c>
      <c r="K120" s="54">
        <f>H120/$O$5</f>
        <v>2</v>
      </c>
      <c r="L120" s="102" t="s">
        <v>22</v>
      </c>
    </row>
    <row r="121" spans="1:12" hidden="1">
      <c r="A121" s="51" t="s">
        <v>159</v>
      </c>
      <c r="B121" s="81" t="s">
        <v>84</v>
      </c>
      <c r="C121" s="51" t="s">
        <v>187</v>
      </c>
      <c r="D121" s="51" t="s">
        <v>50</v>
      </c>
      <c r="E121" s="51" t="s">
        <v>190</v>
      </c>
      <c r="F121" s="45" t="str" cm="1">
        <f t="array" ref="F121">_xlfn.IFS(H121="","", H121&lt;=2,"Low", H121&lt;=5,"Mid", H121&lt;=8,"High", TRUE,"Out of Range")</f>
        <v>Low</v>
      </c>
      <c r="G121" s="51" t="s">
        <v>62</v>
      </c>
      <c r="H121" s="52">
        <v>1</v>
      </c>
      <c r="I121" s="53">
        <v>46164</v>
      </c>
      <c r="J121" s="53">
        <v>46164</v>
      </c>
      <c r="K121" s="54">
        <f>H121/$O$8</f>
        <v>1</v>
      </c>
      <c r="L121" s="102" t="s">
        <v>22</v>
      </c>
    </row>
    <row r="122" spans="1:12" hidden="1">
      <c r="A122" s="51" t="s">
        <v>159</v>
      </c>
      <c r="B122" s="81" t="s">
        <v>84</v>
      </c>
      <c r="C122" s="51" t="s">
        <v>187</v>
      </c>
      <c r="D122" s="51" t="s">
        <v>50</v>
      </c>
      <c r="E122" s="51" t="s">
        <v>191</v>
      </c>
      <c r="F122" s="45" t="str" cm="1">
        <f t="array" ref="F122">_xlfn.IFS(H122="","", H122&lt;=2,"Low", H122&lt;=5,"Mid", H122&lt;=8,"High", TRUE,"Out of Range")</f>
        <v>Low</v>
      </c>
      <c r="G122" s="51" t="s">
        <v>18</v>
      </c>
      <c r="H122" s="52">
        <v>2</v>
      </c>
      <c r="I122" s="53">
        <v>46164</v>
      </c>
      <c r="J122" s="53">
        <v>46167</v>
      </c>
      <c r="K122" s="54">
        <f>H122/$O$5</f>
        <v>2</v>
      </c>
      <c r="L122" s="102" t="s">
        <v>22</v>
      </c>
    </row>
    <row r="123" spans="1:12" hidden="1">
      <c r="A123" s="51" t="s">
        <v>164</v>
      </c>
      <c r="B123" s="81" t="s">
        <v>84</v>
      </c>
      <c r="C123" s="51" t="s">
        <v>187</v>
      </c>
      <c r="D123" s="51" t="s">
        <v>55</v>
      </c>
      <c r="E123" s="51" t="s">
        <v>192</v>
      </c>
      <c r="F123" s="45" t="str" cm="1">
        <f t="array" ref="F123">_xlfn.IFS(H123="","", H123&lt;=2,"Low", H123&lt;=5,"Mid", H123&lt;=8,"High", TRUE,"Out of Range")</f>
        <v>Low</v>
      </c>
      <c r="G123" s="51" t="s">
        <v>57</v>
      </c>
      <c r="H123" s="52">
        <v>1</v>
      </c>
      <c r="I123" s="53">
        <v>46168</v>
      </c>
      <c r="J123" s="53">
        <v>46168</v>
      </c>
      <c r="K123" s="54">
        <f>H123/$O$5</f>
        <v>1</v>
      </c>
      <c r="L123" s="102" t="s">
        <v>22</v>
      </c>
    </row>
    <row r="124" spans="1:12" hidden="1">
      <c r="A124" s="51" t="s">
        <v>164</v>
      </c>
      <c r="B124" s="81" t="s">
        <v>84</v>
      </c>
      <c r="C124" s="51" t="s">
        <v>193</v>
      </c>
      <c r="D124" s="51" t="s">
        <v>46</v>
      </c>
      <c r="E124" s="51" t="s">
        <v>194</v>
      </c>
      <c r="F124" s="45" t="str" cm="1">
        <f t="array" ref="F124">_xlfn.IFS(H124="","", H124&lt;=2,"Low", H124&lt;=5,"Mid", H124&lt;=8,"High", TRUE,"Out of Range")</f>
        <v>Low</v>
      </c>
      <c r="G124" s="51" t="s">
        <v>57</v>
      </c>
      <c r="H124" s="52">
        <v>2</v>
      </c>
      <c r="I124" s="53">
        <v>46164</v>
      </c>
      <c r="J124" s="53">
        <v>46167</v>
      </c>
      <c r="K124" s="54">
        <f>H124/$O$5</f>
        <v>2</v>
      </c>
      <c r="L124" s="102" t="s">
        <v>22</v>
      </c>
    </row>
    <row r="125" spans="1:12" hidden="1">
      <c r="A125" s="51" t="s">
        <v>164</v>
      </c>
      <c r="B125" s="81" t="s">
        <v>84</v>
      </c>
      <c r="C125" s="51" t="s">
        <v>193</v>
      </c>
      <c r="D125" s="51" t="s">
        <v>46</v>
      </c>
      <c r="E125" s="51" t="s">
        <v>195</v>
      </c>
      <c r="F125" s="45" t="s">
        <v>24</v>
      </c>
      <c r="G125" s="51" t="s">
        <v>57</v>
      </c>
      <c r="H125" s="52">
        <v>2</v>
      </c>
      <c r="I125" s="53">
        <v>46169</v>
      </c>
      <c r="J125" s="53">
        <v>46170</v>
      </c>
      <c r="K125" s="54">
        <f>H125/$O$5</f>
        <v>2</v>
      </c>
      <c r="L125" s="102" t="s">
        <v>22</v>
      </c>
    </row>
    <row r="126" spans="1:12" hidden="1">
      <c r="A126" s="51" t="s">
        <v>164</v>
      </c>
      <c r="B126" s="81" t="s">
        <v>84</v>
      </c>
      <c r="C126" s="51" t="s">
        <v>193</v>
      </c>
      <c r="D126" s="51" t="s">
        <v>50</v>
      </c>
      <c r="E126" s="51" t="s">
        <v>196</v>
      </c>
      <c r="F126" s="45" t="s">
        <v>24</v>
      </c>
      <c r="G126" s="51" t="s">
        <v>62</v>
      </c>
      <c r="H126" s="52">
        <v>2</v>
      </c>
      <c r="I126" s="53">
        <v>46171</v>
      </c>
      <c r="J126" s="53">
        <v>46174</v>
      </c>
      <c r="K126" s="54">
        <f>H126/$O$8</f>
        <v>2</v>
      </c>
      <c r="L126" s="102" t="s">
        <v>22</v>
      </c>
    </row>
    <row r="127" spans="1:12" hidden="1">
      <c r="A127" s="51" t="s">
        <v>164</v>
      </c>
      <c r="B127" s="81" t="s">
        <v>84</v>
      </c>
      <c r="C127" s="51" t="s">
        <v>193</v>
      </c>
      <c r="D127" s="51" t="s">
        <v>50</v>
      </c>
      <c r="E127" s="51" t="s">
        <v>197</v>
      </c>
      <c r="F127" s="45" t="s">
        <v>24</v>
      </c>
      <c r="G127" s="51" t="s">
        <v>18</v>
      </c>
      <c r="H127" s="52">
        <v>2</v>
      </c>
      <c r="I127" s="53">
        <v>46171</v>
      </c>
      <c r="J127" s="53">
        <v>46174</v>
      </c>
      <c r="K127" s="54">
        <f>H127/$O$5</f>
        <v>2</v>
      </c>
      <c r="L127" s="102" t="s">
        <v>22</v>
      </c>
    </row>
    <row r="128" spans="1:12" hidden="1">
      <c r="A128" s="51" t="s">
        <v>166</v>
      </c>
      <c r="B128" s="81" t="s">
        <v>84</v>
      </c>
      <c r="C128" s="51" t="s">
        <v>193</v>
      </c>
      <c r="D128" s="51" t="s">
        <v>55</v>
      </c>
      <c r="E128" s="51" t="s">
        <v>198</v>
      </c>
      <c r="F128" s="45" t="s">
        <v>30</v>
      </c>
      <c r="G128" s="51" t="s">
        <v>57</v>
      </c>
      <c r="H128" s="52">
        <v>1</v>
      </c>
      <c r="I128" s="53">
        <v>46175</v>
      </c>
      <c r="J128" s="53">
        <v>46175</v>
      </c>
      <c r="K128" s="54">
        <f>H128/$O$5</f>
        <v>1</v>
      </c>
      <c r="L128" s="102" t="s">
        <v>22</v>
      </c>
    </row>
    <row r="129" spans="1:12" hidden="1">
      <c r="A129" s="51" t="s">
        <v>166</v>
      </c>
      <c r="B129" s="81" t="s">
        <v>84</v>
      </c>
      <c r="C129" s="77" t="s">
        <v>199</v>
      </c>
      <c r="D129" s="51" t="s">
        <v>46</v>
      </c>
      <c r="E129" s="51" t="s">
        <v>200</v>
      </c>
      <c r="F129" s="45" t="s">
        <v>20</v>
      </c>
      <c r="G129" s="51" t="s">
        <v>57</v>
      </c>
      <c r="H129" s="52">
        <v>1</v>
      </c>
      <c r="I129" s="53">
        <v>46171</v>
      </c>
      <c r="J129" s="53">
        <v>46171</v>
      </c>
      <c r="K129" s="54">
        <f>H129/$O$5</f>
        <v>1</v>
      </c>
      <c r="L129" s="102" t="s">
        <v>22</v>
      </c>
    </row>
    <row r="130" spans="1:12" hidden="1">
      <c r="A130" s="51" t="s">
        <v>166</v>
      </c>
      <c r="B130" s="81" t="s">
        <v>84</v>
      </c>
      <c r="C130" s="77" t="s">
        <v>199</v>
      </c>
      <c r="D130" s="51" t="s">
        <v>46</v>
      </c>
      <c r="E130" s="51" t="s">
        <v>201</v>
      </c>
      <c r="F130" s="45" t="s">
        <v>24</v>
      </c>
      <c r="G130" s="51" t="s">
        <v>57</v>
      </c>
      <c r="H130" s="52">
        <v>1</v>
      </c>
      <c r="I130" s="53">
        <v>46174</v>
      </c>
      <c r="J130" s="53">
        <v>46174</v>
      </c>
      <c r="K130" s="54">
        <f>H130/$O$5</f>
        <v>1</v>
      </c>
      <c r="L130" s="102" t="s">
        <v>22</v>
      </c>
    </row>
    <row r="131" spans="1:12" hidden="1">
      <c r="A131" s="51" t="s">
        <v>166</v>
      </c>
      <c r="B131" s="81" t="s">
        <v>84</v>
      </c>
      <c r="C131" s="77" t="s">
        <v>199</v>
      </c>
      <c r="D131" s="51" t="s">
        <v>50</v>
      </c>
      <c r="E131" s="51" t="s">
        <v>202</v>
      </c>
      <c r="F131" s="45" t="str" cm="1">
        <f t="array" ref="F131">_xlfn.IFS(H131="","", H131&lt;=2,"Low", H131&lt;=5,"Mid", H131&lt;=8,"High", TRUE,"Out of Range")</f>
        <v>Low</v>
      </c>
      <c r="G131" s="51" t="s">
        <v>62</v>
      </c>
      <c r="H131" s="52">
        <v>1</v>
      </c>
      <c r="I131" s="53">
        <v>46175</v>
      </c>
      <c r="J131" s="53">
        <v>46175</v>
      </c>
      <c r="K131" s="54">
        <f>H131/$O$8</f>
        <v>1</v>
      </c>
      <c r="L131" s="102" t="s">
        <v>22</v>
      </c>
    </row>
    <row r="132" spans="1:12" hidden="1">
      <c r="A132" s="51" t="s">
        <v>172</v>
      </c>
      <c r="B132" s="81" t="s">
        <v>84</v>
      </c>
      <c r="C132" s="77" t="s">
        <v>199</v>
      </c>
      <c r="D132" s="51" t="s">
        <v>50</v>
      </c>
      <c r="E132" s="51" t="s">
        <v>203</v>
      </c>
      <c r="F132" s="45" t="str" cm="1">
        <f t="array" ref="F132">_xlfn.IFS(H132="","", H132&lt;=2,"Low", H132&lt;=5,"Mid", H132&lt;=8,"High", TRUE,"Out of Range")</f>
        <v>Low</v>
      </c>
      <c r="G132" s="51" t="s">
        <v>18</v>
      </c>
      <c r="H132" s="52">
        <v>2</v>
      </c>
      <c r="I132" s="53">
        <v>46175</v>
      </c>
      <c r="J132" s="53">
        <v>46176</v>
      </c>
      <c r="K132" s="54">
        <f>H132/$O$5</f>
        <v>2</v>
      </c>
      <c r="L132" s="102" t="s">
        <v>22</v>
      </c>
    </row>
    <row r="133" spans="1:12" hidden="1">
      <c r="A133" s="51" t="s">
        <v>172</v>
      </c>
      <c r="B133" s="81" t="s">
        <v>84</v>
      </c>
      <c r="C133" s="77" t="s">
        <v>199</v>
      </c>
      <c r="D133" s="51" t="s">
        <v>55</v>
      </c>
      <c r="E133" s="51" t="s">
        <v>204</v>
      </c>
      <c r="F133" s="45" t="str" cm="1">
        <f t="array" ref="F133">_xlfn.IFS(H133="","", H133&lt;=2,"Low", H133&lt;=5,"Mid", H133&lt;=8,"High", TRUE,"Out of Range")</f>
        <v>Low</v>
      </c>
      <c r="G133" s="51" t="s">
        <v>57</v>
      </c>
      <c r="H133" s="52">
        <v>1</v>
      </c>
      <c r="I133" s="53">
        <v>46177</v>
      </c>
      <c r="J133" s="53">
        <v>46177</v>
      </c>
      <c r="K133" s="54">
        <f>H133/$O$5</f>
        <v>1</v>
      </c>
      <c r="L133" s="102" t="s">
        <v>22</v>
      </c>
    </row>
    <row r="134" spans="1:12" hidden="1">
      <c r="A134" s="51" t="s">
        <v>172</v>
      </c>
      <c r="B134" s="81" t="s">
        <v>84</v>
      </c>
      <c r="C134" s="77" t="s">
        <v>205</v>
      </c>
      <c r="D134" s="51" t="s">
        <v>46</v>
      </c>
      <c r="E134" s="51" t="s">
        <v>206</v>
      </c>
      <c r="F134" s="45" t="str" cm="1">
        <f t="array" ref="F134">_xlfn.IFS(H134="","", H134&lt;=2,"Low", H134&lt;=5,"Mid", H134&lt;=8,"High", TRUE,"Out of Range")</f>
        <v>Low</v>
      </c>
      <c r="G134" s="51" t="s">
        <v>57</v>
      </c>
      <c r="H134" s="52">
        <v>1</v>
      </c>
      <c r="I134" s="53">
        <v>46176</v>
      </c>
      <c r="J134" s="53">
        <v>46176</v>
      </c>
      <c r="K134" s="54">
        <f>H134/$O$5</f>
        <v>1</v>
      </c>
      <c r="L134" s="102" t="s">
        <v>22</v>
      </c>
    </row>
    <row r="135" spans="1:12" hidden="1">
      <c r="A135" s="51" t="s">
        <v>172</v>
      </c>
      <c r="B135" s="81" t="s">
        <v>84</v>
      </c>
      <c r="C135" s="77" t="s">
        <v>205</v>
      </c>
      <c r="D135" s="51" t="s">
        <v>46</v>
      </c>
      <c r="E135" s="51" t="s">
        <v>207</v>
      </c>
      <c r="F135" s="45" t="str" cm="1">
        <f t="array" ref="F135">_xlfn.IFS(H135="","", H135&lt;=2,"Low", H135&lt;=5,"Mid", H135&lt;=8,"High", TRUE,"Out of Range")</f>
        <v>Low</v>
      </c>
      <c r="G135" s="51" t="s">
        <v>57</v>
      </c>
      <c r="H135" s="52">
        <v>1</v>
      </c>
      <c r="I135" s="53">
        <v>46178</v>
      </c>
      <c r="J135" s="53">
        <v>46178</v>
      </c>
      <c r="K135" s="54">
        <f>H135/$O$5</f>
        <v>1</v>
      </c>
      <c r="L135" s="102" t="s">
        <v>22</v>
      </c>
    </row>
    <row r="136" spans="1:12" hidden="1">
      <c r="A136" s="51" t="s">
        <v>208</v>
      </c>
      <c r="B136" s="81" t="s">
        <v>84</v>
      </c>
      <c r="C136" s="77" t="s">
        <v>205</v>
      </c>
      <c r="D136" s="51" t="s">
        <v>50</v>
      </c>
      <c r="E136" s="51" t="s">
        <v>209</v>
      </c>
      <c r="F136" s="45" t="str" cm="1">
        <f t="array" ref="F136">_xlfn.IFS(H136="","", H136&lt;=2,"Low", H136&lt;=5,"Mid", H136&lt;=8,"High", TRUE,"Out of Range")</f>
        <v>Low</v>
      </c>
      <c r="G136" s="51" t="s">
        <v>62</v>
      </c>
      <c r="H136" s="52">
        <v>1</v>
      </c>
      <c r="I136" s="53">
        <v>46181</v>
      </c>
      <c r="J136" s="53">
        <v>46181</v>
      </c>
      <c r="K136" s="54">
        <f>H136/$O$8</f>
        <v>1</v>
      </c>
      <c r="L136" s="102" t="s">
        <v>22</v>
      </c>
    </row>
    <row r="137" spans="1:12" hidden="1">
      <c r="A137" s="51" t="s">
        <v>208</v>
      </c>
      <c r="B137" s="81" t="s">
        <v>84</v>
      </c>
      <c r="C137" s="77" t="s">
        <v>205</v>
      </c>
      <c r="D137" s="51" t="s">
        <v>50</v>
      </c>
      <c r="E137" s="51" t="s">
        <v>210</v>
      </c>
      <c r="F137" s="45" t="s">
        <v>24</v>
      </c>
      <c r="G137" s="51" t="s">
        <v>18</v>
      </c>
      <c r="H137" s="52">
        <v>2</v>
      </c>
      <c r="I137" s="53">
        <v>46181</v>
      </c>
      <c r="J137" s="53">
        <v>46182</v>
      </c>
      <c r="K137" s="54">
        <f>H137/$O$5</f>
        <v>2</v>
      </c>
      <c r="L137" s="102" t="s">
        <v>22</v>
      </c>
    </row>
    <row r="138" spans="1:12" hidden="1">
      <c r="A138" s="51" t="s">
        <v>208</v>
      </c>
      <c r="B138" s="81" t="s">
        <v>84</v>
      </c>
      <c r="C138" s="77" t="s">
        <v>205</v>
      </c>
      <c r="D138" s="51" t="s">
        <v>55</v>
      </c>
      <c r="E138" s="51" t="s">
        <v>211</v>
      </c>
      <c r="F138" s="45" t="s">
        <v>24</v>
      </c>
      <c r="G138" s="51" t="s">
        <v>57</v>
      </c>
      <c r="H138" s="52">
        <v>1</v>
      </c>
      <c r="I138" s="53">
        <v>46183</v>
      </c>
      <c r="J138" s="53">
        <v>46183</v>
      </c>
      <c r="K138" s="54">
        <f>H138/$O$5</f>
        <v>1</v>
      </c>
      <c r="L138" s="102" t="s">
        <v>22</v>
      </c>
    </row>
    <row r="139" spans="1:12" hidden="1">
      <c r="A139" s="51" t="s">
        <v>208</v>
      </c>
      <c r="B139" s="81" t="s">
        <v>84</v>
      </c>
      <c r="C139" s="77" t="s">
        <v>212</v>
      </c>
      <c r="D139" s="51" t="s">
        <v>46</v>
      </c>
      <c r="E139" s="51" t="s">
        <v>213</v>
      </c>
      <c r="F139" s="45" t="s">
        <v>24</v>
      </c>
      <c r="G139" s="51" t="s">
        <v>57</v>
      </c>
      <c r="H139" s="52">
        <v>1</v>
      </c>
      <c r="I139" s="53">
        <v>46181</v>
      </c>
      <c r="J139" s="53">
        <v>46181</v>
      </c>
      <c r="K139" s="54">
        <f>H139/$O$5</f>
        <v>1</v>
      </c>
      <c r="L139" s="102" t="s">
        <v>22</v>
      </c>
    </row>
    <row r="140" spans="1:12" hidden="1">
      <c r="A140" s="51" t="s">
        <v>208</v>
      </c>
      <c r="B140" s="81" t="s">
        <v>84</v>
      </c>
      <c r="C140" s="77" t="s">
        <v>212</v>
      </c>
      <c r="D140" s="51" t="s">
        <v>46</v>
      </c>
      <c r="E140" s="51" t="s">
        <v>214</v>
      </c>
      <c r="F140" s="45" t="s">
        <v>30</v>
      </c>
      <c r="G140" s="51" t="s">
        <v>57</v>
      </c>
      <c r="H140" s="52">
        <v>1</v>
      </c>
      <c r="I140" s="53">
        <v>46182</v>
      </c>
      <c r="J140" s="53">
        <v>46182</v>
      </c>
      <c r="K140" s="54">
        <f>H140/$O$5</f>
        <v>1</v>
      </c>
      <c r="L140" s="102" t="s">
        <v>22</v>
      </c>
    </row>
    <row r="141" spans="1:12" hidden="1">
      <c r="A141" s="51" t="s">
        <v>215</v>
      </c>
      <c r="B141" s="81" t="s">
        <v>84</v>
      </c>
      <c r="C141" s="77" t="s">
        <v>212</v>
      </c>
      <c r="D141" s="51" t="s">
        <v>50</v>
      </c>
      <c r="E141" s="51" t="s">
        <v>216</v>
      </c>
      <c r="F141" s="45" t="s">
        <v>20</v>
      </c>
      <c r="G141" s="51" t="s">
        <v>62</v>
      </c>
      <c r="H141" s="52">
        <v>1</v>
      </c>
      <c r="I141" s="53">
        <v>46183</v>
      </c>
      <c r="J141" s="53">
        <v>46183</v>
      </c>
      <c r="K141" s="54">
        <f>H141/$O$8</f>
        <v>1</v>
      </c>
      <c r="L141" s="102" t="s">
        <v>22</v>
      </c>
    </row>
    <row r="142" spans="1:12" hidden="1">
      <c r="A142" s="51" t="s">
        <v>215</v>
      </c>
      <c r="B142" s="81" t="s">
        <v>84</v>
      </c>
      <c r="C142" s="77" t="s">
        <v>212</v>
      </c>
      <c r="D142" s="51" t="s">
        <v>50</v>
      </c>
      <c r="E142" s="51" t="s">
        <v>217</v>
      </c>
      <c r="F142" s="45" t="s">
        <v>24</v>
      </c>
      <c r="G142" s="51" t="s">
        <v>18</v>
      </c>
      <c r="H142" s="52">
        <v>2</v>
      </c>
      <c r="I142" s="53">
        <v>46183</v>
      </c>
      <c r="J142" s="53">
        <v>46184</v>
      </c>
      <c r="K142" s="54">
        <f>H142/$O$5</f>
        <v>2</v>
      </c>
      <c r="L142" s="102" t="s">
        <v>22</v>
      </c>
    </row>
    <row r="143" spans="1:12" hidden="1">
      <c r="A143" s="51" t="s">
        <v>215</v>
      </c>
      <c r="B143" s="81" t="s">
        <v>84</v>
      </c>
      <c r="C143" s="77" t="s">
        <v>212</v>
      </c>
      <c r="D143" s="51" t="s">
        <v>55</v>
      </c>
      <c r="E143" s="51" t="s">
        <v>218</v>
      </c>
      <c r="F143" s="45" t="str" cm="1">
        <f t="array" ref="F143">_xlfn.IFS(H143="","", H143&lt;=2,"Low", H143&lt;=5,"Mid", H143&lt;=8,"High", TRUE,"Out of Range")</f>
        <v>Low</v>
      </c>
      <c r="G143" s="51" t="s">
        <v>57</v>
      </c>
      <c r="H143" s="52">
        <v>1</v>
      </c>
      <c r="I143" s="53">
        <v>46185</v>
      </c>
      <c r="J143" s="53">
        <v>46185</v>
      </c>
      <c r="K143" s="54">
        <f>H143/$O$5</f>
        <v>1</v>
      </c>
      <c r="L143" s="102" t="s">
        <v>22</v>
      </c>
    </row>
    <row r="144" spans="1:12" hidden="1">
      <c r="A144" s="51" t="s">
        <v>100</v>
      </c>
      <c r="B144" s="81" t="s">
        <v>84</v>
      </c>
      <c r="C144" s="77" t="s">
        <v>219</v>
      </c>
      <c r="D144" s="51" t="s">
        <v>46</v>
      </c>
      <c r="E144" s="51" t="s">
        <v>220</v>
      </c>
      <c r="F144" s="45" t="str" cm="1">
        <f t="array" ref="F144">_xlfn.IFS(H144="","", H144&lt;=2,"Low", H144&lt;=5,"Mid", H144&lt;=8,"High", TRUE,"Out of Range")</f>
        <v>Low</v>
      </c>
      <c r="G144" s="51" t="s">
        <v>57</v>
      </c>
      <c r="H144" s="52">
        <v>1</v>
      </c>
      <c r="I144" s="53">
        <v>46184</v>
      </c>
      <c r="J144" s="53">
        <v>46184</v>
      </c>
      <c r="K144" s="54">
        <f>H144/$O$7</f>
        <v>1</v>
      </c>
      <c r="L144" s="102" t="s">
        <v>22</v>
      </c>
    </row>
    <row r="145" spans="1:12" hidden="1">
      <c r="A145" s="51" t="s">
        <v>100</v>
      </c>
      <c r="B145" s="81" t="s">
        <v>84</v>
      </c>
      <c r="C145" s="77" t="s">
        <v>219</v>
      </c>
      <c r="D145" s="51" t="s">
        <v>46</v>
      </c>
      <c r="E145" s="51" t="s">
        <v>221</v>
      </c>
      <c r="F145" s="45" t="str" cm="1">
        <f t="array" ref="F145">_xlfn.IFS(H145="","", H145&lt;=2,"Low", H145&lt;=5,"Mid", H145&lt;=8,"High", TRUE,"Out of Range")</f>
        <v>Low</v>
      </c>
      <c r="G145" s="51" t="s">
        <v>57</v>
      </c>
      <c r="H145" s="52">
        <v>1</v>
      </c>
      <c r="I145" s="53">
        <v>46188</v>
      </c>
      <c r="J145" s="53">
        <v>46188</v>
      </c>
      <c r="K145" s="54">
        <f>H145/$O$7</f>
        <v>1</v>
      </c>
      <c r="L145" s="102" t="s">
        <v>22</v>
      </c>
    </row>
    <row r="146" spans="1:12" hidden="1">
      <c r="A146" s="51" t="s">
        <v>107</v>
      </c>
      <c r="B146" s="81" t="s">
        <v>84</v>
      </c>
      <c r="C146" s="77" t="s">
        <v>219</v>
      </c>
      <c r="D146" s="51" t="s">
        <v>50</v>
      </c>
      <c r="E146" s="51" t="s">
        <v>222</v>
      </c>
      <c r="F146" s="45" t="str" cm="1">
        <f t="array" ref="F146">_xlfn.IFS(H146="","", H146&lt;=2,"Low", H146&lt;=5,"Mid", H146&lt;=8,"High", TRUE,"Out of Range")</f>
        <v>Mid</v>
      </c>
      <c r="G146" s="51" t="s">
        <v>62</v>
      </c>
      <c r="H146" s="52">
        <v>4</v>
      </c>
      <c r="I146" s="53">
        <v>46189</v>
      </c>
      <c r="J146" s="53">
        <v>46192</v>
      </c>
      <c r="K146" s="54">
        <f>H146/$O$8</f>
        <v>4</v>
      </c>
      <c r="L146" s="102" t="s">
        <v>22</v>
      </c>
    </row>
    <row r="147" spans="1:12" hidden="1">
      <c r="A147" s="51" t="s">
        <v>107</v>
      </c>
      <c r="B147" s="81" t="s">
        <v>84</v>
      </c>
      <c r="C147" s="77" t="s">
        <v>219</v>
      </c>
      <c r="D147" s="51" t="s">
        <v>50</v>
      </c>
      <c r="E147" s="51" t="s">
        <v>223</v>
      </c>
      <c r="F147" s="45" t="str" cm="1">
        <f t="array" ref="F147">_xlfn.IFS(H147="","", H147&lt;=2,"Low", H147&lt;=5,"Mid", H147&lt;=8,"High", TRUE,"Out of Range")</f>
        <v>Mid</v>
      </c>
      <c r="G147" s="51" t="s">
        <v>86</v>
      </c>
      <c r="H147" s="52">
        <v>4</v>
      </c>
      <c r="I147" s="53">
        <v>46189</v>
      </c>
      <c r="J147" s="53">
        <v>46195</v>
      </c>
      <c r="K147" s="54">
        <f>H147/$O$7</f>
        <v>4</v>
      </c>
      <c r="L147" s="102" t="s">
        <v>22</v>
      </c>
    </row>
    <row r="148" spans="1:12" hidden="1">
      <c r="A148" s="51" t="s">
        <v>107</v>
      </c>
      <c r="B148" s="81" t="s">
        <v>84</v>
      </c>
      <c r="C148" s="77" t="s">
        <v>219</v>
      </c>
      <c r="D148" s="51" t="s">
        <v>55</v>
      </c>
      <c r="E148" s="51" t="s">
        <v>224</v>
      </c>
      <c r="F148" s="45" t="str" cm="1">
        <f t="array" ref="F148">_xlfn.IFS(H148="","", H148&lt;=2,"Low", H148&lt;=5,"Mid", H148&lt;=8,"High", TRUE,"Out of Range")</f>
        <v>Low</v>
      </c>
      <c r="G148" s="51" t="s">
        <v>57</v>
      </c>
      <c r="H148" s="52">
        <v>2</v>
      </c>
      <c r="I148" s="53">
        <v>46196</v>
      </c>
      <c r="J148" s="53">
        <v>46197</v>
      </c>
      <c r="K148" s="54">
        <f>H148/$O$5</f>
        <v>2</v>
      </c>
      <c r="L148" s="102" t="s">
        <v>22</v>
      </c>
    </row>
    <row r="149" spans="1:12" hidden="1">
      <c r="A149" s="51" t="s">
        <v>113</v>
      </c>
      <c r="B149" s="81" t="s">
        <v>84</v>
      </c>
      <c r="C149" s="77" t="s">
        <v>225</v>
      </c>
      <c r="D149" s="51" t="s">
        <v>46</v>
      </c>
      <c r="E149" s="51" t="s">
        <v>226</v>
      </c>
      <c r="F149" s="45" t="s">
        <v>24</v>
      </c>
      <c r="G149" s="51" t="s">
        <v>57</v>
      </c>
      <c r="H149" s="52">
        <v>2</v>
      </c>
      <c r="I149" s="53">
        <v>46189</v>
      </c>
      <c r="J149" s="53">
        <v>46191</v>
      </c>
      <c r="K149" s="54">
        <f>H149/$O$7</f>
        <v>2</v>
      </c>
      <c r="L149" s="102" t="s">
        <v>22</v>
      </c>
    </row>
    <row r="150" spans="1:12" hidden="1">
      <c r="A150" s="51" t="s">
        <v>113</v>
      </c>
      <c r="B150" s="81" t="s">
        <v>84</v>
      </c>
      <c r="C150" s="77" t="s">
        <v>225</v>
      </c>
      <c r="D150" s="51" t="s">
        <v>46</v>
      </c>
      <c r="E150" s="51" t="s">
        <v>227</v>
      </c>
      <c r="F150" s="45" t="s">
        <v>24</v>
      </c>
      <c r="G150" s="51" t="s">
        <v>57</v>
      </c>
      <c r="H150" s="52">
        <v>2</v>
      </c>
      <c r="I150" s="53">
        <v>46198</v>
      </c>
      <c r="J150" s="53">
        <v>46199</v>
      </c>
      <c r="K150" s="54">
        <f>H150/$O$7</f>
        <v>2</v>
      </c>
      <c r="L150" s="102" t="s">
        <v>22</v>
      </c>
    </row>
    <row r="151" spans="1:12" hidden="1">
      <c r="A151" s="51" t="s">
        <v>113</v>
      </c>
      <c r="B151" s="81" t="s">
        <v>84</v>
      </c>
      <c r="C151" s="77" t="s">
        <v>225</v>
      </c>
      <c r="D151" s="51" t="s">
        <v>50</v>
      </c>
      <c r="E151" s="51" t="s">
        <v>228</v>
      </c>
      <c r="F151" s="45" t="s">
        <v>24</v>
      </c>
      <c r="G151" s="51" t="s">
        <v>62</v>
      </c>
      <c r="H151" s="52">
        <v>3</v>
      </c>
      <c r="I151" s="53">
        <v>46202</v>
      </c>
      <c r="J151" s="53">
        <v>46204</v>
      </c>
      <c r="K151" s="54">
        <f>H151/$O$8</f>
        <v>3</v>
      </c>
      <c r="L151" s="102" t="s">
        <v>22</v>
      </c>
    </row>
    <row r="152" spans="1:12" hidden="1">
      <c r="A152" s="51" t="s">
        <v>115</v>
      </c>
      <c r="B152" s="81" t="s">
        <v>84</v>
      </c>
      <c r="C152" s="77" t="s">
        <v>225</v>
      </c>
      <c r="D152" s="51" t="s">
        <v>50</v>
      </c>
      <c r="E152" s="51" t="s">
        <v>229</v>
      </c>
      <c r="F152" s="45" t="s">
        <v>30</v>
      </c>
      <c r="G152" s="51" t="s">
        <v>18</v>
      </c>
      <c r="H152" s="52">
        <v>5</v>
      </c>
      <c r="I152" s="53">
        <v>46202</v>
      </c>
      <c r="J152" s="53">
        <v>46206</v>
      </c>
      <c r="K152" s="54">
        <f>H152/$O$5</f>
        <v>5</v>
      </c>
      <c r="L152" s="102" t="s">
        <v>22</v>
      </c>
    </row>
    <row r="153" spans="1:12" hidden="1">
      <c r="A153" s="51" t="s">
        <v>115</v>
      </c>
      <c r="B153" s="81" t="s">
        <v>84</v>
      </c>
      <c r="C153" s="77" t="s">
        <v>225</v>
      </c>
      <c r="D153" s="51" t="s">
        <v>55</v>
      </c>
      <c r="E153" s="51" t="s">
        <v>230</v>
      </c>
      <c r="F153" s="45" t="s">
        <v>20</v>
      </c>
      <c r="G153" s="51" t="s">
        <v>57</v>
      </c>
      <c r="H153" s="52">
        <v>2</v>
      </c>
      <c r="I153" s="53">
        <v>46209</v>
      </c>
      <c r="J153" s="53">
        <v>46210</v>
      </c>
      <c r="K153" s="54">
        <f>H153/$O$5</f>
        <v>2</v>
      </c>
      <c r="L153" s="102" t="s">
        <v>22</v>
      </c>
    </row>
    <row r="154" spans="1:12" hidden="1">
      <c r="A154" s="51" t="s">
        <v>115</v>
      </c>
      <c r="B154" s="81" t="s">
        <v>84</v>
      </c>
      <c r="C154" s="77" t="s">
        <v>231</v>
      </c>
      <c r="D154" s="51" t="s">
        <v>46</v>
      </c>
      <c r="E154" s="51" t="s">
        <v>232</v>
      </c>
      <c r="F154" s="45" t="s">
        <v>24</v>
      </c>
      <c r="G154" s="51" t="s">
        <v>57</v>
      </c>
      <c r="H154" s="52">
        <v>1</v>
      </c>
      <c r="I154" s="53">
        <v>46202</v>
      </c>
      <c r="J154" s="53">
        <v>46202</v>
      </c>
      <c r="K154" s="54">
        <f>H154/$O$7</f>
        <v>1</v>
      </c>
      <c r="L154" s="102" t="s">
        <v>22</v>
      </c>
    </row>
    <row r="155" spans="1:12" hidden="1">
      <c r="A155" s="51" t="s">
        <v>121</v>
      </c>
      <c r="B155" s="81" t="s">
        <v>84</v>
      </c>
      <c r="C155" s="77" t="s">
        <v>231</v>
      </c>
      <c r="D155" s="51" t="s">
        <v>46</v>
      </c>
      <c r="E155" s="51" t="s">
        <v>233</v>
      </c>
      <c r="F155" s="45" t="str" cm="1">
        <f t="array" ref="F155">_xlfn.IFS(H155="","", H155&lt;=2,"Low", H155&lt;=5,"Mid", H155&lt;=8,"High", TRUE,"Out of Range")</f>
        <v>Low</v>
      </c>
      <c r="G155" s="51" t="s">
        <v>57</v>
      </c>
      <c r="H155" s="52">
        <v>1</v>
      </c>
      <c r="I155" s="53">
        <v>46203</v>
      </c>
      <c r="J155" s="53">
        <v>46203</v>
      </c>
      <c r="K155" s="54">
        <f>H155/$O$7</f>
        <v>1</v>
      </c>
      <c r="L155" s="102" t="s">
        <v>22</v>
      </c>
    </row>
    <row r="156" spans="1:12" hidden="1">
      <c r="A156" s="51" t="s">
        <v>121</v>
      </c>
      <c r="B156" s="81" t="s">
        <v>84</v>
      </c>
      <c r="C156" s="77" t="s">
        <v>231</v>
      </c>
      <c r="D156" s="51" t="s">
        <v>50</v>
      </c>
      <c r="E156" s="51" t="s">
        <v>234</v>
      </c>
      <c r="F156" s="45" t="str" cm="1">
        <f t="array" ref="F156">_xlfn.IFS(H156="","", H156&lt;=2,"Low", H156&lt;=5,"Mid", H156&lt;=8,"High", TRUE,"Out of Range")</f>
        <v>Low</v>
      </c>
      <c r="G156" s="51" t="s">
        <v>62</v>
      </c>
      <c r="H156" s="52">
        <v>1</v>
      </c>
      <c r="I156" s="53">
        <v>46204</v>
      </c>
      <c r="J156" s="53">
        <v>46204</v>
      </c>
      <c r="K156" s="54">
        <f>H156/$O$8</f>
        <v>1</v>
      </c>
      <c r="L156" s="102" t="s">
        <v>22</v>
      </c>
    </row>
    <row r="157" spans="1:12" hidden="1">
      <c r="A157" s="51" t="s">
        <v>121</v>
      </c>
      <c r="B157" s="81" t="s">
        <v>84</v>
      </c>
      <c r="C157" s="77" t="s">
        <v>231</v>
      </c>
      <c r="D157" s="51" t="s">
        <v>50</v>
      </c>
      <c r="E157" s="51" t="s">
        <v>235</v>
      </c>
      <c r="F157" s="45" t="str" cm="1">
        <f t="array" ref="F157">_xlfn.IFS(H157="","", H157&lt;=2,"Low", H157&lt;=5,"Mid", H157&lt;=8,"High", TRUE,"Out of Range")</f>
        <v>Low</v>
      </c>
      <c r="G157" s="51" t="s">
        <v>86</v>
      </c>
      <c r="H157" s="52">
        <v>2</v>
      </c>
      <c r="I157" s="53">
        <v>46204</v>
      </c>
      <c r="J157" s="53">
        <v>46205</v>
      </c>
      <c r="K157" s="54">
        <f>H157/$O$7</f>
        <v>2</v>
      </c>
      <c r="L157" s="102" t="s">
        <v>22</v>
      </c>
    </row>
    <row r="158" spans="1:12" hidden="1">
      <c r="A158" s="51" t="s">
        <v>121</v>
      </c>
      <c r="B158" s="81" t="s">
        <v>84</v>
      </c>
      <c r="C158" s="77" t="s">
        <v>231</v>
      </c>
      <c r="D158" s="51" t="s">
        <v>55</v>
      </c>
      <c r="E158" s="51" t="s">
        <v>236</v>
      </c>
      <c r="F158" s="45" t="str" cm="1">
        <f t="array" ref="F158">_xlfn.IFS(H158="","", H158&lt;=2,"Low", H158&lt;=5,"Mid", H158&lt;=8,"High", TRUE,"Out of Range")</f>
        <v>Low</v>
      </c>
      <c r="G158" s="51" t="s">
        <v>57</v>
      </c>
      <c r="H158" s="52">
        <v>1</v>
      </c>
      <c r="I158" s="53">
        <v>46211</v>
      </c>
      <c r="J158" s="53">
        <v>46211</v>
      </c>
      <c r="K158" s="54">
        <f>H158/$O$5</f>
        <v>1</v>
      </c>
      <c r="L158" s="102" t="s">
        <v>22</v>
      </c>
    </row>
    <row r="159" spans="1:12" hidden="1">
      <c r="A159" s="51" t="s">
        <v>121</v>
      </c>
      <c r="B159" s="81" t="s">
        <v>84</v>
      </c>
      <c r="C159" s="77" t="s">
        <v>237</v>
      </c>
      <c r="D159" s="51" t="s">
        <v>46</v>
      </c>
      <c r="E159" s="51" t="s">
        <v>238</v>
      </c>
      <c r="F159" s="45" t="str" cm="1">
        <f t="array" ref="F159">_xlfn.IFS(H159="","", H159&lt;=2,"Low", H159&lt;=5,"Mid", H159&lt;=8,"High", TRUE,"Out of Range")</f>
        <v>Low</v>
      </c>
      <c r="G159" s="51" t="s">
        <v>57</v>
      </c>
      <c r="H159" s="52">
        <v>1</v>
      </c>
      <c r="I159" s="53">
        <v>46212</v>
      </c>
      <c r="J159" s="53">
        <v>46212</v>
      </c>
      <c r="K159" s="54">
        <f>H159/$O$7</f>
        <v>1</v>
      </c>
      <c r="L159" s="102" t="s">
        <v>22</v>
      </c>
    </row>
    <row r="160" spans="1:12" hidden="1">
      <c r="A160" s="51" t="s">
        <v>125</v>
      </c>
      <c r="B160" s="81" t="s">
        <v>84</v>
      </c>
      <c r="C160" s="77" t="s">
        <v>237</v>
      </c>
      <c r="D160" s="51" t="s">
        <v>46</v>
      </c>
      <c r="E160" s="51" t="s">
        <v>239</v>
      </c>
      <c r="F160" s="45" t="str" cm="1">
        <f t="array" ref="F160">_xlfn.IFS(H160="","", H160&lt;=2,"Low", H160&lt;=5,"Mid", H160&lt;=8,"High", TRUE,"Out of Range")</f>
        <v>Low</v>
      </c>
      <c r="G160" s="51" t="s">
        <v>57</v>
      </c>
      <c r="H160" s="52">
        <v>1</v>
      </c>
      <c r="I160" s="53">
        <v>46213</v>
      </c>
      <c r="J160" s="53">
        <v>46213</v>
      </c>
      <c r="K160" s="54">
        <f>H160/$O$7</f>
        <v>1</v>
      </c>
      <c r="L160" s="102" t="s">
        <v>22</v>
      </c>
    </row>
    <row r="161" spans="1:12" hidden="1">
      <c r="A161" s="51" t="s">
        <v>125</v>
      </c>
      <c r="B161" s="81" t="s">
        <v>84</v>
      </c>
      <c r="C161" s="77" t="s">
        <v>237</v>
      </c>
      <c r="D161" s="51" t="s">
        <v>50</v>
      </c>
      <c r="E161" s="51" t="s">
        <v>240</v>
      </c>
      <c r="F161" s="45" t="s">
        <v>24</v>
      </c>
      <c r="G161" s="51" t="s">
        <v>62</v>
      </c>
      <c r="H161" s="52">
        <v>3</v>
      </c>
      <c r="I161" s="53">
        <v>46216</v>
      </c>
      <c r="J161" s="53">
        <v>46218</v>
      </c>
      <c r="K161" s="54">
        <f>H161/$O$8</f>
        <v>3</v>
      </c>
      <c r="L161" s="102" t="s">
        <v>22</v>
      </c>
    </row>
    <row r="162" spans="1:12" hidden="1">
      <c r="A162" s="51" t="s">
        <v>125</v>
      </c>
      <c r="B162" s="81" t="s">
        <v>84</v>
      </c>
      <c r="C162" s="77" t="s">
        <v>237</v>
      </c>
      <c r="D162" s="51" t="s">
        <v>50</v>
      </c>
      <c r="E162" s="51" t="s">
        <v>241</v>
      </c>
      <c r="F162" s="45" t="s">
        <v>24</v>
      </c>
      <c r="G162" s="51" t="s">
        <v>86</v>
      </c>
      <c r="H162" s="52">
        <v>4</v>
      </c>
      <c r="I162" s="53">
        <v>46216</v>
      </c>
      <c r="J162" s="53">
        <v>46219</v>
      </c>
      <c r="K162" s="54">
        <f>H162/$O$7</f>
        <v>4</v>
      </c>
      <c r="L162" s="102" t="s">
        <v>22</v>
      </c>
    </row>
    <row r="163" spans="1:12" hidden="1">
      <c r="A163" s="51" t="s">
        <v>149</v>
      </c>
      <c r="B163" s="81" t="s">
        <v>84</v>
      </c>
      <c r="C163" s="77" t="s">
        <v>237</v>
      </c>
      <c r="D163" s="51" t="s">
        <v>55</v>
      </c>
      <c r="E163" s="51" t="s">
        <v>242</v>
      </c>
      <c r="F163" s="45" t="s">
        <v>24</v>
      </c>
      <c r="G163" s="51" t="s">
        <v>57</v>
      </c>
      <c r="H163" s="52">
        <v>2</v>
      </c>
      <c r="I163" s="53">
        <v>46220</v>
      </c>
      <c r="J163" s="53">
        <v>46223</v>
      </c>
      <c r="K163" s="54">
        <f>H163/$O$5</f>
        <v>2</v>
      </c>
      <c r="L163" s="102" t="s">
        <v>22</v>
      </c>
    </row>
    <row r="164" spans="1:12" hidden="1">
      <c r="A164" s="51" t="s">
        <v>149</v>
      </c>
      <c r="B164" s="81" t="s">
        <v>84</v>
      </c>
      <c r="C164" s="77" t="s">
        <v>243</v>
      </c>
      <c r="D164" s="51" t="s">
        <v>46</v>
      </c>
      <c r="E164" s="51" t="s">
        <v>244</v>
      </c>
      <c r="F164" s="45" t="s">
        <v>30</v>
      </c>
      <c r="G164" s="51" t="s">
        <v>57</v>
      </c>
      <c r="H164" s="52">
        <v>1</v>
      </c>
      <c r="I164" s="53">
        <v>46216</v>
      </c>
      <c r="J164" s="53">
        <v>46216</v>
      </c>
      <c r="K164" s="54">
        <f>H164/$O$7</f>
        <v>1</v>
      </c>
      <c r="L164" s="102" t="s">
        <v>22</v>
      </c>
    </row>
    <row r="165" spans="1:12" hidden="1">
      <c r="A165" s="51" t="s">
        <v>149</v>
      </c>
      <c r="B165" s="81" t="s">
        <v>84</v>
      </c>
      <c r="C165" s="77" t="s">
        <v>243</v>
      </c>
      <c r="D165" s="51" t="s">
        <v>46</v>
      </c>
      <c r="E165" s="51" t="s">
        <v>245</v>
      </c>
      <c r="F165" s="45" t="s">
        <v>20</v>
      </c>
      <c r="G165" s="51" t="s">
        <v>57</v>
      </c>
      <c r="H165" s="52">
        <v>1</v>
      </c>
      <c r="I165" s="53">
        <v>46217</v>
      </c>
      <c r="J165" s="53">
        <v>46217</v>
      </c>
      <c r="K165" s="54">
        <f>H165/$O$7</f>
        <v>1</v>
      </c>
      <c r="L165" s="102" t="s">
        <v>22</v>
      </c>
    </row>
    <row r="166" spans="1:12" hidden="1">
      <c r="A166" s="51" t="s">
        <v>149</v>
      </c>
      <c r="B166" s="81" t="s">
        <v>84</v>
      </c>
      <c r="C166" s="77" t="s">
        <v>243</v>
      </c>
      <c r="D166" s="51" t="s">
        <v>50</v>
      </c>
      <c r="E166" s="51" t="s">
        <v>246</v>
      </c>
      <c r="F166" s="45" t="s">
        <v>24</v>
      </c>
      <c r="G166" s="51" t="s">
        <v>62</v>
      </c>
      <c r="H166" s="52">
        <v>2</v>
      </c>
      <c r="I166" s="53">
        <v>46218</v>
      </c>
      <c r="J166" s="53">
        <v>46219</v>
      </c>
      <c r="K166" s="54">
        <f>H166/$O$8</f>
        <v>2</v>
      </c>
      <c r="L166" s="102" t="s">
        <v>22</v>
      </c>
    </row>
    <row r="167" spans="1:12" hidden="1">
      <c r="A167" s="51" t="s">
        <v>151</v>
      </c>
      <c r="B167" s="81" t="s">
        <v>84</v>
      </c>
      <c r="C167" s="77" t="s">
        <v>243</v>
      </c>
      <c r="D167" s="51" t="s">
        <v>50</v>
      </c>
      <c r="E167" s="51" t="s">
        <v>247</v>
      </c>
      <c r="F167" s="45" t="str" cm="1">
        <f t="array" ref="F167">_xlfn.IFS(H167="","", H167&lt;=2,"Low", H167&lt;=5,"Mid", H167&lt;=8,"High", TRUE,"Out of Range")</f>
        <v>Low</v>
      </c>
      <c r="G167" s="51" t="s">
        <v>18</v>
      </c>
      <c r="H167" s="52">
        <v>2</v>
      </c>
      <c r="I167" s="53">
        <v>46220</v>
      </c>
      <c r="J167" s="53">
        <v>46223</v>
      </c>
      <c r="K167" s="54">
        <f>H167/$O$5</f>
        <v>2</v>
      </c>
      <c r="L167" s="102" t="s">
        <v>22</v>
      </c>
    </row>
    <row r="168" spans="1:12" hidden="1">
      <c r="A168" s="51" t="s">
        <v>151</v>
      </c>
      <c r="B168" s="81" t="s">
        <v>84</v>
      </c>
      <c r="C168" s="77" t="s">
        <v>243</v>
      </c>
      <c r="D168" s="51" t="s">
        <v>55</v>
      </c>
      <c r="E168" s="51" t="s">
        <v>248</v>
      </c>
      <c r="F168" s="45" t="str" cm="1">
        <f t="array" ref="F168">_xlfn.IFS(H168="","", H168&lt;=2,"Low", H168&lt;=5,"Mid", H168&lt;=8,"High", TRUE,"Out of Range")</f>
        <v>Low</v>
      </c>
      <c r="G168" s="51" t="s">
        <v>57</v>
      </c>
      <c r="H168" s="52">
        <v>1</v>
      </c>
      <c r="I168" s="53">
        <v>46224</v>
      </c>
      <c r="J168" s="53">
        <v>46224</v>
      </c>
      <c r="K168" s="54">
        <f>H168/$O$5</f>
        <v>1</v>
      </c>
      <c r="L168" s="102" t="s">
        <v>22</v>
      </c>
    </row>
    <row r="169" spans="1:12" hidden="1">
      <c r="A169" s="51" t="s">
        <v>151</v>
      </c>
      <c r="B169" s="81" t="s">
        <v>84</v>
      </c>
      <c r="C169" s="77" t="s">
        <v>249</v>
      </c>
      <c r="D169" s="51" t="s">
        <v>46</v>
      </c>
      <c r="E169" s="51" t="s">
        <v>250</v>
      </c>
      <c r="F169" s="45" t="str" cm="1">
        <f t="array" ref="F169">_xlfn.IFS(H169="","", H169&lt;=2,"Low", H169&lt;=5,"Mid", H169&lt;=8,"High", TRUE,"Out of Range")</f>
        <v>Low</v>
      </c>
      <c r="G169" s="51" t="s">
        <v>57</v>
      </c>
      <c r="H169" s="52">
        <v>1</v>
      </c>
      <c r="I169" s="53">
        <v>46218</v>
      </c>
      <c r="J169" s="53">
        <v>46218</v>
      </c>
      <c r="K169" s="54">
        <f>H169/$O$7</f>
        <v>1</v>
      </c>
      <c r="L169" s="102" t="s">
        <v>22</v>
      </c>
    </row>
    <row r="170" spans="1:12" hidden="1">
      <c r="A170" s="51" t="s">
        <v>151</v>
      </c>
      <c r="B170" s="81" t="s">
        <v>84</v>
      </c>
      <c r="C170" s="77" t="s">
        <v>249</v>
      </c>
      <c r="D170" s="51" t="s">
        <v>46</v>
      </c>
      <c r="E170" s="51" t="s">
        <v>251</v>
      </c>
      <c r="F170" s="45" t="str" cm="1">
        <f t="array" ref="F170">_xlfn.IFS(H170="","", H170&lt;=2,"Low", H170&lt;=5,"Mid", H170&lt;=8,"High", TRUE,"Out of Range")</f>
        <v>Low</v>
      </c>
      <c r="G170" s="51" t="s">
        <v>57</v>
      </c>
      <c r="H170" s="52">
        <v>1</v>
      </c>
      <c r="I170" s="53">
        <v>46225</v>
      </c>
      <c r="J170" s="53">
        <v>46225</v>
      </c>
      <c r="K170" s="54">
        <f>H170/$O$7</f>
        <v>1</v>
      </c>
      <c r="L170" s="102" t="s">
        <v>22</v>
      </c>
    </row>
    <row r="171" spans="1:12" hidden="1">
      <c r="A171" s="51" t="s">
        <v>156</v>
      </c>
      <c r="B171" s="81" t="s">
        <v>84</v>
      </c>
      <c r="C171" s="77" t="s">
        <v>249</v>
      </c>
      <c r="D171" s="51" t="s">
        <v>50</v>
      </c>
      <c r="E171" s="51" t="s">
        <v>252</v>
      </c>
      <c r="F171" s="45" t="str" cm="1">
        <f t="array" ref="F171">_xlfn.IFS(H171="","", H171&lt;=2,"Low", H171&lt;=5,"Mid", H171&lt;=8,"High", TRUE,"Out of Range")</f>
        <v>Low</v>
      </c>
      <c r="G171" s="51" t="s">
        <v>62</v>
      </c>
      <c r="H171" s="52">
        <v>1</v>
      </c>
      <c r="I171" s="53">
        <v>46226</v>
      </c>
      <c r="J171" s="53">
        <v>46226</v>
      </c>
      <c r="K171" s="54">
        <f>H171/$O$8</f>
        <v>1</v>
      </c>
      <c r="L171" s="102" t="s">
        <v>22</v>
      </c>
    </row>
    <row r="172" spans="1:12" hidden="1">
      <c r="A172" s="51" t="s">
        <v>156</v>
      </c>
      <c r="B172" s="81" t="s">
        <v>84</v>
      </c>
      <c r="C172" s="77" t="s">
        <v>249</v>
      </c>
      <c r="D172" s="51" t="s">
        <v>50</v>
      </c>
      <c r="E172" s="51" t="s">
        <v>253</v>
      </c>
      <c r="F172" s="45" t="str" cm="1">
        <f t="array" ref="F172">_xlfn.IFS(H172="","", H172&lt;=2,"Low", H172&lt;=5,"Mid", H172&lt;=8,"High", TRUE,"Out of Range")</f>
        <v>Mid</v>
      </c>
      <c r="G172" s="51" t="s">
        <v>86</v>
      </c>
      <c r="H172" s="52">
        <v>4</v>
      </c>
      <c r="I172" s="53">
        <v>46226</v>
      </c>
      <c r="J172" s="53">
        <v>46231</v>
      </c>
      <c r="K172" s="54">
        <f>H172/$O$7</f>
        <v>4</v>
      </c>
      <c r="L172" s="102" t="s">
        <v>22</v>
      </c>
    </row>
    <row r="173" spans="1:12" hidden="1">
      <c r="A173" s="51" t="s">
        <v>156</v>
      </c>
      <c r="B173" s="81" t="s">
        <v>84</v>
      </c>
      <c r="C173" s="77" t="s">
        <v>249</v>
      </c>
      <c r="D173" s="51" t="s">
        <v>55</v>
      </c>
      <c r="E173" s="51" t="s">
        <v>254</v>
      </c>
      <c r="F173" s="45" t="s">
        <v>24</v>
      </c>
      <c r="G173" s="51" t="s">
        <v>57</v>
      </c>
      <c r="H173" s="52">
        <v>1</v>
      </c>
      <c r="I173" s="53">
        <v>46232</v>
      </c>
      <c r="J173" s="53">
        <v>46232</v>
      </c>
      <c r="K173" s="54">
        <f>H173/$O$5</f>
        <v>1</v>
      </c>
      <c r="L173" s="102" t="s">
        <v>22</v>
      </c>
    </row>
    <row r="174" spans="1:12" hidden="1">
      <c r="A174" s="51" t="s">
        <v>159</v>
      </c>
      <c r="B174" s="81" t="s">
        <v>84</v>
      </c>
      <c r="C174" s="77" t="s">
        <v>255</v>
      </c>
      <c r="D174" s="51" t="s">
        <v>46</v>
      </c>
      <c r="E174" s="77" t="s">
        <v>256</v>
      </c>
      <c r="F174" s="45" t="s">
        <v>24</v>
      </c>
      <c r="G174" s="51" t="s">
        <v>57</v>
      </c>
      <c r="H174" s="52">
        <v>1</v>
      </c>
      <c r="I174" s="53">
        <v>46226</v>
      </c>
      <c r="J174" s="53">
        <v>46226</v>
      </c>
      <c r="K174" s="54">
        <f>H174/$O$7</f>
        <v>1</v>
      </c>
      <c r="L174" s="102" t="s">
        <v>22</v>
      </c>
    </row>
    <row r="175" spans="1:12" hidden="1">
      <c r="A175" s="51" t="s">
        <v>159</v>
      </c>
      <c r="B175" s="81" t="s">
        <v>84</v>
      </c>
      <c r="C175" s="77" t="s">
        <v>255</v>
      </c>
      <c r="D175" s="51" t="s">
        <v>46</v>
      </c>
      <c r="E175" s="77" t="s">
        <v>257</v>
      </c>
      <c r="F175" s="45" t="s">
        <v>24</v>
      </c>
      <c r="G175" s="51" t="s">
        <v>57</v>
      </c>
      <c r="H175" s="52">
        <v>1</v>
      </c>
      <c r="I175" s="53">
        <v>46227</v>
      </c>
      <c r="J175" s="53">
        <v>46227</v>
      </c>
      <c r="K175" s="54">
        <f>H175/$O$7</f>
        <v>1</v>
      </c>
      <c r="L175" s="102" t="s">
        <v>22</v>
      </c>
    </row>
    <row r="176" spans="1:12" hidden="1">
      <c r="A176" s="51" t="s">
        <v>159</v>
      </c>
      <c r="B176" s="81" t="s">
        <v>84</v>
      </c>
      <c r="C176" s="77" t="s">
        <v>255</v>
      </c>
      <c r="D176" s="51" t="s">
        <v>50</v>
      </c>
      <c r="E176" s="77" t="s">
        <v>258</v>
      </c>
      <c r="F176" s="45" t="s">
        <v>30</v>
      </c>
      <c r="G176" s="51" t="s">
        <v>18</v>
      </c>
      <c r="H176" s="52">
        <v>3</v>
      </c>
      <c r="I176" s="53">
        <v>46230</v>
      </c>
      <c r="J176" s="53">
        <v>46232</v>
      </c>
      <c r="K176" s="54">
        <f t="shared" ref="K176:K183" si="2">H176/$O$5</f>
        <v>3</v>
      </c>
      <c r="L176" s="102" t="s">
        <v>22</v>
      </c>
    </row>
    <row r="177" spans="1:12" hidden="1">
      <c r="A177" s="51" t="s">
        <v>159</v>
      </c>
      <c r="B177" s="81" t="s">
        <v>84</v>
      </c>
      <c r="C177" s="77" t="s">
        <v>255</v>
      </c>
      <c r="D177" s="51" t="s">
        <v>55</v>
      </c>
      <c r="E177" s="77" t="s">
        <v>259</v>
      </c>
      <c r="F177" s="45" t="s">
        <v>20</v>
      </c>
      <c r="G177" s="51" t="s">
        <v>57</v>
      </c>
      <c r="H177" s="52">
        <v>1</v>
      </c>
      <c r="I177" s="53">
        <v>46233</v>
      </c>
      <c r="J177" s="53">
        <v>46233</v>
      </c>
      <c r="K177" s="54">
        <f t="shared" si="2"/>
        <v>1</v>
      </c>
      <c r="L177" s="102" t="s">
        <v>22</v>
      </c>
    </row>
    <row r="178" spans="1:12" hidden="1">
      <c r="A178" s="51" t="s">
        <v>215</v>
      </c>
      <c r="B178" s="81" t="s">
        <v>84</v>
      </c>
      <c r="C178" s="77" t="s">
        <v>260</v>
      </c>
      <c r="D178" s="51" t="s">
        <v>46</v>
      </c>
      <c r="E178" s="77" t="s">
        <v>261</v>
      </c>
      <c r="F178" s="45" t="s">
        <v>24</v>
      </c>
      <c r="G178" s="51" t="s">
        <v>57</v>
      </c>
      <c r="H178" s="52">
        <v>1</v>
      </c>
      <c r="I178" s="53">
        <v>46234</v>
      </c>
      <c r="J178" s="53">
        <v>46234</v>
      </c>
      <c r="K178" s="54">
        <f t="shared" si="2"/>
        <v>1</v>
      </c>
      <c r="L178" s="102" t="s">
        <v>22</v>
      </c>
    </row>
    <row r="179" spans="1:12" hidden="1">
      <c r="A179" s="51" t="s">
        <v>262</v>
      </c>
      <c r="B179" s="81" t="s">
        <v>84</v>
      </c>
      <c r="C179" s="77" t="s">
        <v>260</v>
      </c>
      <c r="D179" s="51" t="s">
        <v>46</v>
      </c>
      <c r="E179" s="77" t="s">
        <v>263</v>
      </c>
      <c r="F179" s="45" t="str" cm="1">
        <f t="array" ref="F179">_xlfn.IFS(H179="","", H179&lt;=2,"Low", H179&lt;=5,"Mid", H179&lt;=8,"High", TRUE,"Out of Range")</f>
        <v>Low</v>
      </c>
      <c r="G179" s="51" t="s">
        <v>57</v>
      </c>
      <c r="H179" s="52">
        <v>1</v>
      </c>
      <c r="I179" s="53">
        <v>46237</v>
      </c>
      <c r="J179" s="53">
        <v>46237</v>
      </c>
      <c r="K179" s="54">
        <f t="shared" si="2"/>
        <v>1</v>
      </c>
      <c r="L179" s="102" t="s">
        <v>22</v>
      </c>
    </row>
    <row r="180" spans="1:12" hidden="1">
      <c r="A180" s="51" t="s">
        <v>262</v>
      </c>
      <c r="B180" s="81" t="s">
        <v>84</v>
      </c>
      <c r="C180" s="77" t="s">
        <v>260</v>
      </c>
      <c r="D180" s="51" t="s">
        <v>50</v>
      </c>
      <c r="E180" s="77" t="s">
        <v>264</v>
      </c>
      <c r="F180" s="45" t="str" cm="1">
        <f t="array" ref="F180">_xlfn.IFS(H180="","", H180&lt;=2,"Low", H180&lt;=5,"Mid", H180&lt;=8,"High", TRUE,"Out of Range")</f>
        <v>Mid</v>
      </c>
      <c r="G180" s="51" t="s">
        <v>18</v>
      </c>
      <c r="H180" s="52">
        <v>3</v>
      </c>
      <c r="I180" s="53">
        <v>46238</v>
      </c>
      <c r="J180" s="53">
        <v>46240</v>
      </c>
      <c r="K180" s="54">
        <f t="shared" si="2"/>
        <v>3</v>
      </c>
      <c r="L180" s="102" t="s">
        <v>22</v>
      </c>
    </row>
    <row r="181" spans="1:12" hidden="1">
      <c r="A181" s="51" t="s">
        <v>262</v>
      </c>
      <c r="B181" s="81" t="s">
        <v>84</v>
      </c>
      <c r="C181" s="77" t="s">
        <v>260</v>
      </c>
      <c r="D181" s="51" t="s">
        <v>55</v>
      </c>
      <c r="E181" s="77" t="s">
        <v>265</v>
      </c>
      <c r="F181" s="45" t="str" cm="1">
        <f t="array" ref="F181">_xlfn.IFS(H181="","", H181&lt;=2,"Low", H181&lt;=5,"Mid", H181&lt;=8,"High", TRUE,"Out of Range")</f>
        <v>Low</v>
      </c>
      <c r="G181" s="51" t="s">
        <v>57</v>
      </c>
      <c r="H181" s="52">
        <v>1</v>
      </c>
      <c r="I181" s="53">
        <v>46241</v>
      </c>
      <c r="J181" s="53">
        <v>46241</v>
      </c>
      <c r="K181" s="54">
        <f t="shared" si="2"/>
        <v>1</v>
      </c>
      <c r="L181" s="102" t="s">
        <v>22</v>
      </c>
    </row>
    <row r="182" spans="1:12" hidden="1">
      <c r="A182" s="51" t="s">
        <v>262</v>
      </c>
      <c r="B182" s="81" t="s">
        <v>84</v>
      </c>
      <c r="C182" s="77" t="s">
        <v>266</v>
      </c>
      <c r="D182" s="51" t="s">
        <v>46</v>
      </c>
      <c r="E182" s="77" t="s">
        <v>267</v>
      </c>
      <c r="F182" s="45" t="str" cm="1">
        <f t="array" ref="F182">_xlfn.IFS(H182="","", H182&lt;=2,"Low", H182&lt;=5,"Mid", H182&lt;=8,"High", TRUE,"Out of Range")</f>
        <v>Low</v>
      </c>
      <c r="G182" s="51" t="s">
        <v>57</v>
      </c>
      <c r="H182" s="52">
        <v>1</v>
      </c>
      <c r="I182" s="53">
        <v>46244</v>
      </c>
      <c r="J182" s="53">
        <v>46244</v>
      </c>
      <c r="K182" s="54">
        <f t="shared" si="2"/>
        <v>1</v>
      </c>
      <c r="L182" s="102" t="s">
        <v>22</v>
      </c>
    </row>
    <row r="183" spans="1:12" hidden="1">
      <c r="A183" s="51" t="s">
        <v>268</v>
      </c>
      <c r="B183" s="81" t="s">
        <v>84</v>
      </c>
      <c r="C183" s="77" t="s">
        <v>266</v>
      </c>
      <c r="D183" s="51" t="s">
        <v>46</v>
      </c>
      <c r="E183" s="77" t="s">
        <v>269</v>
      </c>
      <c r="F183" s="45" t="str" cm="1">
        <f t="array" ref="F183">_xlfn.IFS(H183="","", H183&lt;=2,"Low", H183&lt;=5,"Mid", H183&lt;=8,"High", TRUE,"Out of Range")</f>
        <v>Low</v>
      </c>
      <c r="G183" s="51" t="s">
        <v>57</v>
      </c>
      <c r="H183" s="52">
        <v>1</v>
      </c>
      <c r="I183" s="53">
        <v>46245</v>
      </c>
      <c r="J183" s="53">
        <v>46245</v>
      </c>
      <c r="K183" s="54">
        <f t="shared" si="2"/>
        <v>1</v>
      </c>
      <c r="L183" s="102" t="s">
        <v>22</v>
      </c>
    </row>
    <row r="184" spans="1:12" hidden="1">
      <c r="A184" s="51" t="s">
        <v>268</v>
      </c>
      <c r="B184" s="81" t="s">
        <v>84</v>
      </c>
      <c r="C184" s="77" t="s">
        <v>266</v>
      </c>
      <c r="D184" s="51" t="s">
        <v>50</v>
      </c>
      <c r="E184" s="77" t="s">
        <v>270</v>
      </c>
      <c r="F184" s="45" t="str" cm="1">
        <f t="array" ref="F184">_xlfn.IFS(H184="","", H184&lt;=2,"Low", H184&lt;=5,"Mid", H184&lt;=8,"High", TRUE,"Out of Range")</f>
        <v>Mid</v>
      </c>
      <c r="G184" s="51" t="s">
        <v>86</v>
      </c>
      <c r="H184" s="52">
        <v>3</v>
      </c>
      <c r="I184" s="53">
        <v>46246</v>
      </c>
      <c r="J184" s="53">
        <v>46248</v>
      </c>
      <c r="K184" s="54">
        <f>H184/$O$7</f>
        <v>3</v>
      </c>
      <c r="L184" s="102" t="s">
        <v>22</v>
      </c>
    </row>
    <row r="185" spans="1:12" hidden="1">
      <c r="A185" s="82" t="s">
        <v>268</v>
      </c>
      <c r="B185" s="83" t="s">
        <v>84</v>
      </c>
      <c r="C185" s="88" t="s">
        <v>266</v>
      </c>
      <c r="D185" s="51" t="s">
        <v>55</v>
      </c>
      <c r="E185" s="88" t="s">
        <v>271</v>
      </c>
      <c r="F185" s="45" t="str" cm="1">
        <f t="array" ref="F185">_xlfn.IFS(H185="","", H185&lt;=2,"Low", H185&lt;=5,"Mid", H185&lt;=8,"High", TRUE,"Out of Range")</f>
        <v>Low</v>
      </c>
      <c r="G185" s="51" t="s">
        <v>57</v>
      </c>
      <c r="H185" s="84">
        <v>1</v>
      </c>
      <c r="I185" s="85">
        <v>46251</v>
      </c>
      <c r="J185" s="85">
        <v>46251</v>
      </c>
      <c r="K185" s="54">
        <f>H185/$O$5</f>
        <v>1</v>
      </c>
      <c r="L185" s="87" t="s">
        <v>22</v>
      </c>
    </row>
    <row r="186" spans="1:12">
      <c r="A186" s="51" t="s">
        <v>268</v>
      </c>
      <c r="B186" s="49" t="s">
        <v>274</v>
      </c>
      <c r="C186" s="77" t="s">
        <v>282</v>
      </c>
      <c r="D186" s="51" t="s">
        <v>46</v>
      </c>
      <c r="E186" s="51" t="s">
        <v>283</v>
      </c>
      <c r="F186" s="45" t="str" cm="1">
        <f t="array" ref="F186">_xlfn.IFS(H186="","", H186&lt;=2,"Low", H186&lt;=5,"Mid", H186&lt;=8,"High", TRUE,"Out of Range")</f>
        <v>Low</v>
      </c>
      <c r="G186" s="51" t="s">
        <v>57</v>
      </c>
      <c r="H186" s="52">
        <v>1</v>
      </c>
      <c r="I186" s="53">
        <v>46447</v>
      </c>
      <c r="J186" s="53">
        <v>46447</v>
      </c>
      <c r="K186" s="54">
        <v>1</v>
      </c>
      <c r="L186" s="102" t="s">
        <v>22</v>
      </c>
    </row>
    <row r="187" spans="1:12">
      <c r="A187" s="51" t="s">
        <v>268</v>
      </c>
      <c r="B187" s="49" t="s">
        <v>274</v>
      </c>
      <c r="C187" s="77" t="s">
        <v>282</v>
      </c>
      <c r="D187" s="51" t="s">
        <v>46</v>
      </c>
      <c r="E187" s="51" t="s">
        <v>284</v>
      </c>
      <c r="F187" s="45" t="str" cm="1">
        <f t="array" ref="F187">_xlfn.IFS(H187="","", H187&lt;=2,"Low", H187&lt;=5,"Mid", H187&lt;=8,"High", TRUE,"Out of Range")</f>
        <v>Low</v>
      </c>
      <c r="G187" s="51" t="s">
        <v>57</v>
      </c>
      <c r="H187" s="52">
        <v>1</v>
      </c>
      <c r="I187" s="53">
        <v>46448</v>
      </c>
      <c r="J187" s="53">
        <v>46448</v>
      </c>
      <c r="K187" s="54">
        <v>1</v>
      </c>
      <c r="L187" s="102" t="s">
        <v>22</v>
      </c>
    </row>
    <row r="188" spans="1:12">
      <c r="A188" s="51" t="s">
        <v>285</v>
      </c>
      <c r="B188" s="49" t="s">
        <v>274</v>
      </c>
      <c r="C188" s="77" t="s">
        <v>282</v>
      </c>
      <c r="D188" s="51" t="s">
        <v>50</v>
      </c>
      <c r="E188" s="51" t="s">
        <v>286</v>
      </c>
      <c r="F188" s="45" t="str" cm="1">
        <f t="array" ref="F188">_xlfn.IFS(H188="","", H188&lt;=2,"Low", H188&lt;=5,"Mid", H188&lt;=8,"High", TRUE,"Out of Range")</f>
        <v>Mid</v>
      </c>
      <c r="G188" s="51" t="s">
        <v>62</v>
      </c>
      <c r="H188" s="52">
        <v>3</v>
      </c>
      <c r="I188" s="53">
        <v>46449</v>
      </c>
      <c r="J188" s="53">
        <v>46451</v>
      </c>
      <c r="K188" s="54">
        <v>3</v>
      </c>
      <c r="L188" s="102" t="s">
        <v>22</v>
      </c>
    </row>
    <row r="189" spans="1:12">
      <c r="A189" s="51" t="s">
        <v>285</v>
      </c>
      <c r="B189" s="49" t="s">
        <v>274</v>
      </c>
      <c r="C189" s="77" t="s">
        <v>282</v>
      </c>
      <c r="D189" s="51" t="s">
        <v>50</v>
      </c>
      <c r="E189" s="51" t="s">
        <v>287</v>
      </c>
      <c r="F189" s="45" t="str" cm="1">
        <f t="array" ref="F189">_xlfn.IFS(H189="","", H189&lt;=2,"Low", H189&lt;=5,"Mid", H189&lt;=8,"High", TRUE,"Out of Range")</f>
        <v>Mid</v>
      </c>
      <c r="G189" s="51" t="s">
        <v>18</v>
      </c>
      <c r="H189" s="52">
        <v>4</v>
      </c>
      <c r="I189" s="53">
        <v>46449</v>
      </c>
      <c r="J189" s="53">
        <v>46454</v>
      </c>
      <c r="K189" s="54">
        <v>4</v>
      </c>
      <c r="L189" s="102" t="s">
        <v>22</v>
      </c>
    </row>
    <row r="190" spans="1:12">
      <c r="A190" s="51" t="s">
        <v>285</v>
      </c>
      <c r="B190" s="49" t="s">
        <v>274</v>
      </c>
      <c r="C190" s="77" t="s">
        <v>282</v>
      </c>
      <c r="D190" s="51" t="s">
        <v>55</v>
      </c>
      <c r="E190" s="51" t="s">
        <v>288</v>
      </c>
      <c r="F190" s="45" t="str" cm="1">
        <f t="array" ref="F190">_xlfn.IFS(H190="","", H190&lt;=2,"Low", H190&lt;=5,"Mid", H190&lt;=8,"High", TRUE,"Out of Range")</f>
        <v>Low</v>
      </c>
      <c r="G190" s="51" t="s">
        <v>57</v>
      </c>
      <c r="H190" s="52">
        <v>2</v>
      </c>
      <c r="I190" s="53">
        <v>46455</v>
      </c>
      <c r="J190" s="53">
        <v>46456</v>
      </c>
      <c r="K190" s="54">
        <v>2</v>
      </c>
      <c r="L190" s="102" t="s">
        <v>22</v>
      </c>
    </row>
    <row r="191" spans="1:12">
      <c r="A191" s="51" t="s">
        <v>289</v>
      </c>
      <c r="B191" s="49" t="s">
        <v>274</v>
      </c>
      <c r="C191" s="77" t="s">
        <v>290</v>
      </c>
      <c r="D191" s="51" t="s">
        <v>46</v>
      </c>
      <c r="E191" s="51" t="s">
        <v>291</v>
      </c>
      <c r="F191" s="45" t="str" cm="1">
        <f t="array" ref="F191">_xlfn.IFS(H191="","", H191&lt;=2,"Low", H191&lt;=5,"Mid", H191&lt;=8,"High", TRUE,"Out of Range")</f>
        <v>Low</v>
      </c>
      <c r="G191" s="51" t="s">
        <v>57</v>
      </c>
      <c r="H191" s="52">
        <v>1</v>
      </c>
      <c r="I191" s="53">
        <v>46447</v>
      </c>
      <c r="J191" s="53">
        <v>46447</v>
      </c>
      <c r="K191" s="54">
        <v>1</v>
      </c>
      <c r="L191" s="102" t="s">
        <v>22</v>
      </c>
    </row>
    <row r="192" spans="1:12">
      <c r="A192" s="51" t="s">
        <v>289</v>
      </c>
      <c r="B192" s="49" t="s">
        <v>274</v>
      </c>
      <c r="C192" s="77" t="s">
        <v>290</v>
      </c>
      <c r="D192" s="51" t="s">
        <v>46</v>
      </c>
      <c r="E192" s="51" t="s">
        <v>292</v>
      </c>
      <c r="F192" s="45" t="str" cm="1">
        <f t="array" ref="F192">_xlfn.IFS(H192="","", H192&lt;=2,"Low", H192&lt;=5,"Mid", H192&lt;=8,"High", TRUE,"Out of Range")</f>
        <v>Low</v>
      </c>
      <c r="G192" s="51" t="s">
        <v>57</v>
      </c>
      <c r="H192" s="52">
        <v>1</v>
      </c>
      <c r="I192" s="53">
        <v>46448</v>
      </c>
      <c r="J192" s="53">
        <v>46448</v>
      </c>
      <c r="K192" s="54">
        <v>1</v>
      </c>
      <c r="L192" s="102" t="s">
        <v>22</v>
      </c>
    </row>
    <row r="193" spans="1:12">
      <c r="A193" s="51" t="s">
        <v>289</v>
      </c>
      <c r="B193" s="49" t="s">
        <v>329</v>
      </c>
      <c r="C193" s="77" t="s">
        <v>290</v>
      </c>
      <c r="D193" s="51" t="s">
        <v>50</v>
      </c>
      <c r="E193" s="51" t="s">
        <v>293</v>
      </c>
      <c r="F193" s="45" t="str" cm="1">
        <f t="array" ref="F193">_xlfn.IFS(H193="","", H193&lt;=2,"Low", H193&lt;=5,"Mid", H193&lt;=8,"High", TRUE,"Out of Range")</f>
        <v>Low</v>
      </c>
      <c r="G193" s="51" t="s">
        <v>62</v>
      </c>
      <c r="H193" s="52">
        <v>2</v>
      </c>
      <c r="I193" s="53">
        <v>46449</v>
      </c>
      <c r="J193" s="53">
        <v>46450</v>
      </c>
      <c r="K193" s="54">
        <v>2</v>
      </c>
      <c r="L193" s="102" t="s">
        <v>22</v>
      </c>
    </row>
    <row r="194" spans="1:12">
      <c r="A194" s="51" t="s">
        <v>289</v>
      </c>
      <c r="B194" s="49" t="s">
        <v>274</v>
      </c>
      <c r="C194" s="77" t="s">
        <v>290</v>
      </c>
      <c r="D194" s="51" t="s">
        <v>50</v>
      </c>
      <c r="E194" s="51" t="s">
        <v>294</v>
      </c>
      <c r="F194" s="45" t="str" cm="1">
        <f t="array" ref="F194">_xlfn.IFS(H194="","", H194&lt;=2,"Low", H194&lt;=5,"Mid", H194&lt;=8,"High", TRUE,"Out of Range")</f>
        <v>Mid</v>
      </c>
      <c r="G194" s="51" t="s">
        <v>86</v>
      </c>
      <c r="H194" s="52">
        <v>5</v>
      </c>
      <c r="I194" s="53">
        <v>46449</v>
      </c>
      <c r="J194" s="53">
        <v>46455</v>
      </c>
      <c r="K194" s="54">
        <v>5</v>
      </c>
      <c r="L194" s="102" t="s">
        <v>22</v>
      </c>
    </row>
    <row r="195" spans="1:12">
      <c r="A195" s="51" t="s">
        <v>295</v>
      </c>
      <c r="B195" s="49" t="s">
        <v>274</v>
      </c>
      <c r="C195" s="77" t="s">
        <v>290</v>
      </c>
      <c r="D195" s="51" t="s">
        <v>55</v>
      </c>
      <c r="E195" s="51" t="s">
        <v>296</v>
      </c>
      <c r="F195" s="45" t="str" cm="1">
        <f t="array" ref="F195">_xlfn.IFS(H195="","", H195&lt;=2,"Low", H195&lt;=5,"Mid", H195&lt;=8,"High", TRUE,"Out of Range")</f>
        <v>Low</v>
      </c>
      <c r="G195" s="51" t="s">
        <v>57</v>
      </c>
      <c r="H195" s="52">
        <v>1</v>
      </c>
      <c r="I195" s="53">
        <v>46456</v>
      </c>
      <c r="J195" s="53">
        <v>46456</v>
      </c>
      <c r="K195" s="54">
        <v>1</v>
      </c>
      <c r="L195" s="102" t="s">
        <v>22</v>
      </c>
    </row>
    <row r="196" spans="1:12">
      <c r="A196" s="51" t="s">
        <v>295</v>
      </c>
      <c r="B196" s="49" t="s">
        <v>274</v>
      </c>
      <c r="C196" s="77" t="s">
        <v>297</v>
      </c>
      <c r="D196" s="51" t="s">
        <v>46</v>
      </c>
      <c r="E196" s="51" t="s">
        <v>298</v>
      </c>
      <c r="F196" s="45" t="str" cm="1">
        <f t="array" ref="F196">_xlfn.IFS(H196="","", H196&lt;=2,"Low", H196&lt;=5,"Mid", H196&lt;=8,"High", TRUE,"Out of Range")</f>
        <v>Low</v>
      </c>
      <c r="G196" s="51" t="s">
        <v>57</v>
      </c>
      <c r="H196" s="52">
        <v>1</v>
      </c>
      <c r="I196" s="53">
        <v>46451</v>
      </c>
      <c r="J196" s="53">
        <v>46451</v>
      </c>
      <c r="K196" s="54">
        <v>1</v>
      </c>
      <c r="L196" s="102" t="s">
        <v>22</v>
      </c>
    </row>
    <row r="197" spans="1:12">
      <c r="A197" s="51" t="s">
        <v>295</v>
      </c>
      <c r="B197" s="49" t="s">
        <v>274</v>
      </c>
      <c r="C197" s="77" t="s">
        <v>297</v>
      </c>
      <c r="D197" s="51" t="s">
        <v>46</v>
      </c>
      <c r="E197" s="51" t="s">
        <v>299</v>
      </c>
      <c r="F197" s="45" t="str" cm="1">
        <f t="array" ref="F197">_xlfn.IFS(H197="","", H197&lt;=2,"Low", H197&lt;=5,"Mid", H197&lt;=8,"High", TRUE,"Out of Range")</f>
        <v>Low</v>
      </c>
      <c r="G197" s="51" t="s">
        <v>57</v>
      </c>
      <c r="H197" s="52">
        <v>1</v>
      </c>
      <c r="I197" s="53">
        <v>46454</v>
      </c>
      <c r="J197" s="53">
        <v>46454</v>
      </c>
      <c r="K197" s="54">
        <v>1</v>
      </c>
      <c r="L197" s="102" t="s">
        <v>22</v>
      </c>
    </row>
    <row r="198" spans="1:12">
      <c r="A198" s="51" t="s">
        <v>295</v>
      </c>
      <c r="B198" s="49" t="s">
        <v>274</v>
      </c>
      <c r="C198" s="77" t="s">
        <v>297</v>
      </c>
      <c r="D198" s="51" t="s">
        <v>50</v>
      </c>
      <c r="E198" s="51" t="s">
        <v>300</v>
      </c>
      <c r="F198" s="45" t="str" cm="1">
        <f t="array" ref="F198">_xlfn.IFS(H198="","", H198&lt;=2,"Low", H198&lt;=5,"Mid", H198&lt;=8,"High", TRUE,"Out of Range")</f>
        <v>Low</v>
      </c>
      <c r="G198" s="51" t="s">
        <v>62</v>
      </c>
      <c r="H198" s="52">
        <v>2</v>
      </c>
      <c r="I198" s="53">
        <v>46455</v>
      </c>
      <c r="J198" s="53">
        <v>46456</v>
      </c>
      <c r="K198" s="54">
        <v>2</v>
      </c>
      <c r="L198" s="102" t="s">
        <v>22</v>
      </c>
    </row>
    <row r="199" spans="1:12">
      <c r="A199" s="51" t="s">
        <v>295</v>
      </c>
      <c r="B199" s="49" t="s">
        <v>274</v>
      </c>
      <c r="C199" s="77" t="s">
        <v>297</v>
      </c>
      <c r="D199" s="51" t="s">
        <v>50</v>
      </c>
      <c r="E199" s="51" t="s">
        <v>301</v>
      </c>
      <c r="F199" s="45" t="str" cm="1">
        <f t="array" ref="F199">_xlfn.IFS(H199="","", H199&lt;=2,"Low", H199&lt;=5,"Mid", H199&lt;=8,"High", TRUE,"Out of Range")</f>
        <v>Mid</v>
      </c>
      <c r="G199" s="51" t="s">
        <v>18</v>
      </c>
      <c r="H199" s="52">
        <v>5</v>
      </c>
      <c r="I199" s="53">
        <v>46455</v>
      </c>
      <c r="J199" s="53">
        <v>46461</v>
      </c>
      <c r="K199" s="54">
        <v>5</v>
      </c>
      <c r="L199" s="102" t="s">
        <v>22</v>
      </c>
    </row>
    <row r="200" spans="1:12">
      <c r="A200" s="51" t="s">
        <v>302</v>
      </c>
      <c r="B200" s="49" t="s">
        <v>274</v>
      </c>
      <c r="C200" s="77" t="s">
        <v>297</v>
      </c>
      <c r="D200" s="51" t="s">
        <v>55</v>
      </c>
      <c r="E200" s="51" t="s">
        <v>303</v>
      </c>
      <c r="F200" s="45" t="str" cm="1">
        <f t="array" ref="F200">_xlfn.IFS(H200="","", H200&lt;=2,"Low", H200&lt;=5,"Mid", H200&lt;=8,"High", TRUE,"Out of Range")</f>
        <v>Low</v>
      </c>
      <c r="G200" s="51" t="s">
        <v>57</v>
      </c>
      <c r="H200" s="52">
        <v>1</v>
      </c>
      <c r="I200" s="53">
        <v>46462</v>
      </c>
      <c r="J200" s="53">
        <v>46462</v>
      </c>
      <c r="K200" s="54">
        <v>1</v>
      </c>
      <c r="L200" s="102" t="s">
        <v>22</v>
      </c>
    </row>
    <row r="201" spans="1:12">
      <c r="A201" s="51" t="s">
        <v>302</v>
      </c>
      <c r="B201" s="49" t="s">
        <v>274</v>
      </c>
      <c r="C201" s="77" t="s">
        <v>304</v>
      </c>
      <c r="D201" s="51" t="s">
        <v>46</v>
      </c>
      <c r="E201" s="51" t="s">
        <v>305</v>
      </c>
      <c r="F201" s="45" t="str" cm="1">
        <f t="array" ref="F201">_xlfn.IFS(H201="","", H201&lt;=2,"Low", H201&lt;=5,"Mid", H201&lt;=8,"High", TRUE,"Out of Range")</f>
        <v>Low</v>
      </c>
      <c r="G201" s="51" t="s">
        <v>57</v>
      </c>
      <c r="H201" s="52">
        <v>1</v>
      </c>
      <c r="I201" s="53">
        <v>46457</v>
      </c>
      <c r="J201" s="53">
        <v>46457</v>
      </c>
      <c r="K201" s="54">
        <v>1</v>
      </c>
      <c r="L201" s="102" t="s">
        <v>22</v>
      </c>
    </row>
    <row r="202" spans="1:12">
      <c r="A202" s="51" t="s">
        <v>302</v>
      </c>
      <c r="B202" s="49" t="s">
        <v>274</v>
      </c>
      <c r="C202" s="77" t="s">
        <v>304</v>
      </c>
      <c r="D202" s="51" t="s">
        <v>46</v>
      </c>
      <c r="E202" s="51" t="s">
        <v>306</v>
      </c>
      <c r="F202" s="45" t="str" cm="1">
        <f t="array" ref="F202">_xlfn.IFS(H202="","", H202&lt;=2,"Low", H202&lt;=5,"Mid", H202&lt;=8,"High", TRUE,"Out of Range")</f>
        <v>Low</v>
      </c>
      <c r="G202" s="51" t="s">
        <v>57</v>
      </c>
      <c r="H202" s="52">
        <v>1</v>
      </c>
      <c r="I202" s="53">
        <v>46458</v>
      </c>
      <c r="J202" s="53">
        <v>46458</v>
      </c>
      <c r="K202" s="54">
        <v>1</v>
      </c>
      <c r="L202" s="102" t="s">
        <v>22</v>
      </c>
    </row>
    <row r="203" spans="1:12">
      <c r="A203" s="51" t="s">
        <v>302</v>
      </c>
      <c r="B203" s="49" t="s">
        <v>274</v>
      </c>
      <c r="C203" s="77" t="s">
        <v>304</v>
      </c>
      <c r="D203" s="51" t="s">
        <v>50</v>
      </c>
      <c r="E203" s="51" t="s">
        <v>307</v>
      </c>
      <c r="F203" s="45" t="str" cm="1">
        <f t="array" ref="F203">_xlfn.IFS(H203="","", H203&lt;=2,"Low", H203&lt;=5,"Mid", H203&lt;=8,"High", TRUE,"Out of Range")</f>
        <v>Low</v>
      </c>
      <c r="G203" s="51" t="s">
        <v>62</v>
      </c>
      <c r="H203" s="52">
        <v>1</v>
      </c>
      <c r="I203" s="53">
        <v>46461</v>
      </c>
      <c r="J203" s="53">
        <v>46461</v>
      </c>
      <c r="K203" s="54">
        <v>1</v>
      </c>
      <c r="L203" s="102" t="s">
        <v>22</v>
      </c>
    </row>
    <row r="204" spans="1:12">
      <c r="A204" s="51" t="s">
        <v>302</v>
      </c>
      <c r="B204" s="49" t="s">
        <v>274</v>
      </c>
      <c r="C204" s="77" t="s">
        <v>304</v>
      </c>
      <c r="D204" s="51" t="s">
        <v>50</v>
      </c>
      <c r="E204" s="51" t="s">
        <v>308</v>
      </c>
      <c r="F204" s="45" t="str" cm="1">
        <f t="array" ref="F204">_xlfn.IFS(H204="","", H204&lt;=2,"Low", H204&lt;=5,"Mid", H204&lt;=8,"High", TRUE,"Out of Range")</f>
        <v>Low</v>
      </c>
      <c r="G204" s="51" t="s">
        <v>86</v>
      </c>
      <c r="H204" s="52">
        <v>2</v>
      </c>
      <c r="I204" s="53">
        <v>46461</v>
      </c>
      <c r="J204" s="53">
        <v>46462</v>
      </c>
      <c r="K204" s="54">
        <v>2</v>
      </c>
      <c r="L204" s="102" t="s">
        <v>22</v>
      </c>
    </row>
    <row r="205" spans="1:12">
      <c r="A205" s="51" t="s">
        <v>302</v>
      </c>
      <c r="B205" s="49" t="s">
        <v>274</v>
      </c>
      <c r="C205" s="77" t="s">
        <v>304</v>
      </c>
      <c r="D205" s="51" t="s">
        <v>55</v>
      </c>
      <c r="E205" s="51" t="s">
        <v>309</v>
      </c>
      <c r="F205" s="45" t="str" cm="1">
        <f t="array" ref="F205">_xlfn.IFS(H205="","", H205&lt;=2,"Low", H205&lt;=5,"Mid", H205&lt;=8,"High", TRUE,"Out of Range")</f>
        <v>Low</v>
      </c>
      <c r="G205" s="51" t="s">
        <v>57</v>
      </c>
      <c r="H205" s="52">
        <v>1</v>
      </c>
      <c r="I205" s="53">
        <v>46463</v>
      </c>
      <c r="J205" s="53">
        <v>46463</v>
      </c>
      <c r="K205" s="54">
        <v>1</v>
      </c>
      <c r="L205" s="102" t="s">
        <v>22</v>
      </c>
    </row>
    <row r="206" spans="1:12">
      <c r="A206" s="51" t="s">
        <v>302</v>
      </c>
      <c r="B206" s="49" t="s">
        <v>274</v>
      </c>
      <c r="C206" s="77" t="s">
        <v>310</v>
      </c>
      <c r="D206" s="51" t="s">
        <v>46</v>
      </c>
      <c r="E206" s="51" t="s">
        <v>311</v>
      </c>
      <c r="F206" s="45" t="str" cm="1">
        <f t="array" ref="F206">_xlfn.IFS(H206="","", H206&lt;=2,"Low", H206&lt;=5,"Mid", H206&lt;=8,"High", TRUE,"Out of Range")</f>
        <v>Low</v>
      </c>
      <c r="G206" s="51" t="s">
        <v>57</v>
      </c>
      <c r="H206" s="52">
        <v>1</v>
      </c>
      <c r="I206" s="53">
        <v>46461</v>
      </c>
      <c r="J206" s="53">
        <v>46461</v>
      </c>
      <c r="K206" s="54">
        <v>1</v>
      </c>
      <c r="L206" s="102" t="s">
        <v>22</v>
      </c>
    </row>
    <row r="207" spans="1:12">
      <c r="A207" s="51" t="s">
        <v>302</v>
      </c>
      <c r="B207" s="49" t="s">
        <v>274</v>
      </c>
      <c r="C207" s="77" t="s">
        <v>310</v>
      </c>
      <c r="D207" s="51" t="s">
        <v>46</v>
      </c>
      <c r="E207" s="51" t="s">
        <v>312</v>
      </c>
      <c r="F207" s="45" t="str" cm="1">
        <f t="array" ref="F207">_xlfn.IFS(H207="","", H207&lt;=2,"Low", H207&lt;=5,"Mid", H207&lt;=8,"High", TRUE,"Out of Range")</f>
        <v>Low</v>
      </c>
      <c r="G207" s="51" t="s">
        <v>57</v>
      </c>
      <c r="H207" s="52">
        <v>1</v>
      </c>
      <c r="I207" s="53">
        <v>46462</v>
      </c>
      <c r="J207" s="53">
        <v>46462</v>
      </c>
      <c r="K207" s="54">
        <v>1</v>
      </c>
      <c r="L207" s="102" t="s">
        <v>22</v>
      </c>
    </row>
    <row r="208" spans="1:12">
      <c r="A208" s="51" t="s">
        <v>302</v>
      </c>
      <c r="B208" s="49" t="s">
        <v>274</v>
      </c>
      <c r="C208" s="77" t="s">
        <v>310</v>
      </c>
      <c r="D208" s="51" t="s">
        <v>50</v>
      </c>
      <c r="E208" s="51" t="s">
        <v>313</v>
      </c>
      <c r="F208" s="45" t="str" cm="1">
        <f t="array" ref="F208">_xlfn.IFS(H208="","", H208&lt;=2,"Low", H208&lt;=5,"Mid", H208&lt;=8,"High", TRUE,"Out of Range")</f>
        <v>Low</v>
      </c>
      <c r="G208" s="51" t="s">
        <v>62</v>
      </c>
      <c r="H208" s="52">
        <v>1</v>
      </c>
      <c r="I208" s="53">
        <v>46463</v>
      </c>
      <c r="J208" s="53">
        <v>46463</v>
      </c>
      <c r="K208" s="54">
        <v>1</v>
      </c>
      <c r="L208" s="102" t="s">
        <v>22</v>
      </c>
    </row>
    <row r="209" spans="1:12">
      <c r="A209" s="51" t="s">
        <v>314</v>
      </c>
      <c r="B209" s="49" t="s">
        <v>274</v>
      </c>
      <c r="C209" s="77" t="s">
        <v>310</v>
      </c>
      <c r="D209" s="51" t="s">
        <v>50</v>
      </c>
      <c r="E209" s="51" t="s">
        <v>315</v>
      </c>
      <c r="F209" s="45" t="str" cm="1">
        <f t="array" ref="F209">_xlfn.IFS(H209="","", H209&lt;=2,"Low", H209&lt;=5,"Mid", H209&lt;=8,"High", TRUE,"Out of Range")</f>
        <v>Low</v>
      </c>
      <c r="G209" s="51" t="s">
        <v>18</v>
      </c>
      <c r="H209" s="52">
        <v>2</v>
      </c>
      <c r="I209" s="53">
        <v>46463</v>
      </c>
      <c r="J209" s="53">
        <v>46464</v>
      </c>
      <c r="K209" s="54">
        <v>2</v>
      </c>
      <c r="L209" s="102" t="s">
        <v>22</v>
      </c>
    </row>
    <row r="210" spans="1:12">
      <c r="A210" s="51" t="s">
        <v>314</v>
      </c>
      <c r="B210" s="49" t="s">
        <v>274</v>
      </c>
      <c r="C210" s="77" t="s">
        <v>310</v>
      </c>
      <c r="D210" s="51" t="s">
        <v>55</v>
      </c>
      <c r="E210" s="51" t="s">
        <v>316</v>
      </c>
      <c r="F210" s="45" t="str" cm="1">
        <f t="array" ref="F210">_xlfn.IFS(H210="","", H210&lt;=2,"Low", H210&lt;=5,"Mid", H210&lt;=8,"High", TRUE,"Out of Range")</f>
        <v>Low</v>
      </c>
      <c r="G210" s="51" t="s">
        <v>57</v>
      </c>
      <c r="H210" s="52">
        <v>1</v>
      </c>
      <c r="I210" s="53">
        <v>46465</v>
      </c>
      <c r="J210" s="53">
        <v>46465</v>
      </c>
      <c r="K210" s="54">
        <v>1</v>
      </c>
      <c r="L210" s="102" t="s">
        <v>22</v>
      </c>
    </row>
    <row r="211" spans="1:12">
      <c r="A211" s="51" t="s">
        <v>314</v>
      </c>
      <c r="B211" s="49" t="s">
        <v>274</v>
      </c>
      <c r="C211" s="77" t="s">
        <v>317</v>
      </c>
      <c r="D211" s="51" t="s">
        <v>46</v>
      </c>
      <c r="E211" s="51" t="s">
        <v>318</v>
      </c>
      <c r="F211" s="45" t="str" cm="1">
        <f t="array" ref="F211">_xlfn.IFS(H211="","", H211&lt;=2,"Low", H211&lt;=5,"Mid", H211&lt;=8,"High", TRUE,"Out of Range")</f>
        <v>Low</v>
      </c>
      <c r="G211" s="51" t="s">
        <v>57</v>
      </c>
      <c r="H211" s="52">
        <v>1</v>
      </c>
      <c r="I211" s="53">
        <v>46463</v>
      </c>
      <c r="J211" s="53">
        <v>46463</v>
      </c>
      <c r="K211" s="54">
        <v>1</v>
      </c>
      <c r="L211" s="102" t="s">
        <v>22</v>
      </c>
    </row>
    <row r="212" spans="1:12">
      <c r="A212" s="51" t="s">
        <v>314</v>
      </c>
      <c r="B212" s="49" t="s">
        <v>274</v>
      </c>
      <c r="C212" s="77" t="s">
        <v>317</v>
      </c>
      <c r="D212" s="51" t="s">
        <v>46</v>
      </c>
      <c r="E212" s="51" t="s">
        <v>319</v>
      </c>
      <c r="F212" s="45" t="str" cm="1">
        <f t="array" ref="F212">_xlfn.IFS(H212="","", H212&lt;=2,"Low", H212&lt;=5,"Mid", H212&lt;=8,"High", TRUE,"Out of Range")</f>
        <v>Low</v>
      </c>
      <c r="G212" s="51" t="s">
        <v>57</v>
      </c>
      <c r="H212" s="52">
        <v>1</v>
      </c>
      <c r="I212" s="53">
        <v>46464</v>
      </c>
      <c r="J212" s="53">
        <v>46464</v>
      </c>
      <c r="K212" s="54">
        <v>1</v>
      </c>
      <c r="L212" s="102" t="s">
        <v>22</v>
      </c>
    </row>
    <row r="213" spans="1:12">
      <c r="A213" s="51" t="s">
        <v>314</v>
      </c>
      <c r="B213" s="49" t="s">
        <v>274</v>
      </c>
      <c r="C213" s="77" t="s">
        <v>317</v>
      </c>
      <c r="D213" s="51" t="s">
        <v>50</v>
      </c>
      <c r="E213" s="51" t="s">
        <v>320</v>
      </c>
      <c r="F213" s="45" t="str" cm="1">
        <f t="array" ref="F213">_xlfn.IFS(H213="","", H213&lt;=2,"Low", H213&lt;=5,"Mid", H213&lt;=8,"High", TRUE,"Out of Range")</f>
        <v>Low</v>
      </c>
      <c r="G213" s="51" t="s">
        <v>62</v>
      </c>
      <c r="H213" s="52">
        <v>2</v>
      </c>
      <c r="I213" s="53">
        <v>46465</v>
      </c>
      <c r="J213" s="53">
        <v>46468</v>
      </c>
      <c r="K213" s="54">
        <v>2</v>
      </c>
      <c r="L213" s="102" t="s">
        <v>22</v>
      </c>
    </row>
    <row r="214" spans="1:12">
      <c r="A214" s="51" t="s">
        <v>314</v>
      </c>
      <c r="B214" s="49" t="s">
        <v>274</v>
      </c>
      <c r="C214" s="77" t="s">
        <v>317</v>
      </c>
      <c r="D214" s="51" t="s">
        <v>50</v>
      </c>
      <c r="E214" s="51" t="s">
        <v>321</v>
      </c>
      <c r="F214" s="45" t="str" cm="1">
        <f t="array" ref="F214">_xlfn.IFS(H214="","", H214&lt;=2,"Low", H214&lt;=5,"Mid", H214&lt;=8,"High", TRUE,"Out of Range")</f>
        <v>Mid</v>
      </c>
      <c r="G214" s="51" t="s">
        <v>18</v>
      </c>
      <c r="H214" s="52">
        <v>5</v>
      </c>
      <c r="I214" s="53">
        <v>46465</v>
      </c>
      <c r="J214" s="53">
        <v>46471</v>
      </c>
      <c r="K214" s="54">
        <v>5</v>
      </c>
      <c r="L214" s="102" t="s">
        <v>22</v>
      </c>
    </row>
    <row r="215" spans="1:12">
      <c r="A215" s="51" t="s">
        <v>330</v>
      </c>
      <c r="B215" s="49" t="s">
        <v>274</v>
      </c>
      <c r="C215" s="77" t="s">
        <v>317</v>
      </c>
      <c r="D215" s="51" t="s">
        <v>55</v>
      </c>
      <c r="E215" s="51" t="s">
        <v>322</v>
      </c>
      <c r="F215" s="45" t="str" cm="1">
        <f t="array" ref="F215">_xlfn.IFS(H215="","", H215&lt;=2,"Low", H215&lt;=5,"Mid", H215&lt;=8,"High", TRUE,"Out of Range")</f>
        <v>Low</v>
      </c>
      <c r="G215" s="51" t="s">
        <v>57</v>
      </c>
      <c r="H215" s="52">
        <v>1</v>
      </c>
      <c r="I215" s="53">
        <v>46472</v>
      </c>
      <c r="J215" s="53">
        <v>46472</v>
      </c>
      <c r="K215" s="54">
        <v>1</v>
      </c>
      <c r="L215" s="102" t="s">
        <v>22</v>
      </c>
    </row>
    <row r="216" spans="1:12">
      <c r="A216" s="51" t="s">
        <v>323</v>
      </c>
      <c r="B216" s="49" t="s">
        <v>274</v>
      </c>
      <c r="C216" s="77" t="s">
        <v>324</v>
      </c>
      <c r="D216" s="51" t="s">
        <v>325</v>
      </c>
      <c r="F216" s="45" t="str" cm="1">
        <f t="array" ref="F216">_xlfn.IFS(H216="","", H216&lt;=2,"Low", H216&lt;=5,"Mid", H216&lt;=8,"High", TRUE,"Out of Range")</f>
        <v/>
      </c>
      <c r="G216" s="51" t="s">
        <v>86</v>
      </c>
      <c r="H216" s="52"/>
      <c r="I216" s="53">
        <f>WORKDAY(J215,1)</f>
        <v>46475</v>
      </c>
      <c r="J216" s="101">
        <v>46507</v>
      </c>
      <c r="L216" s="102" t="s">
        <v>22</v>
      </c>
    </row>
  </sheetData>
  <autoFilter ref="A10:O216" xr:uid="{34BB96A7-53BD-4507-B62C-6AD24A499E83}">
    <filterColumn colId="1">
      <filters>
        <filter val="Shareholders' Meeting &amp; Management"/>
      </filters>
    </filterColumn>
  </autoFilter>
  <mergeCells count="4">
    <mergeCell ref="C1:L1"/>
    <mergeCell ref="J3:J4"/>
    <mergeCell ref="J5:J6"/>
    <mergeCell ref="D7:G7"/>
  </mergeCells>
  <phoneticPr fontId="1" type="noConversion"/>
  <dataValidations count="1">
    <dataValidation type="list" allowBlank="1" showInputMessage="1" showErrorMessage="1" sqref="L11:L216" xr:uid="{199FD55C-B615-4D1C-B4C5-31C3C6896691}">
      <formula1>"Not Started,In progress,Completed"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1BFB-459E-4610-BB27-B79ECFFC7268}">
  <dimension ref="A1:O33"/>
  <sheetViews>
    <sheetView workbookViewId="0">
      <selection activeCell="E29" sqref="E29:E33"/>
    </sheetView>
  </sheetViews>
  <sheetFormatPr defaultColWidth="8.7109375" defaultRowHeight="12.75"/>
  <cols>
    <col min="1" max="1" width="3.42578125" style="49" customWidth="1"/>
    <col min="2" max="2" width="12.42578125" style="49" customWidth="1"/>
    <col min="3" max="3" width="42.42578125" style="49" customWidth="1"/>
    <col min="4" max="4" width="9.42578125" style="49" customWidth="1"/>
    <col min="5" max="5" width="39.85546875" style="49" customWidth="1"/>
    <col min="6" max="6" width="11.42578125" style="49" customWidth="1"/>
    <col min="7" max="7" width="12.85546875" style="49" customWidth="1"/>
    <col min="8" max="9" width="10.140625" style="49" bestFit="1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6384" width="8.7109375" style="49"/>
  </cols>
  <sheetData>
    <row r="1" spans="1:15" s="46" customFormat="1" ht="24" customHeight="1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5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5">
      <c r="B3" s="67" t="s">
        <v>6</v>
      </c>
      <c r="C3" s="68">
        <f>COUNTA(E9:E1048576)</f>
        <v>25</v>
      </c>
      <c r="D3" s="68"/>
      <c r="E3" s="45"/>
      <c r="F3" s="69" t="s">
        <v>7</v>
      </c>
      <c r="G3" s="70"/>
      <c r="H3" s="45"/>
      <c r="I3" s="120" t="s">
        <v>8</v>
      </c>
      <c r="J3" s="45"/>
      <c r="M3" s="60" t="s">
        <v>11</v>
      </c>
      <c r="N3" s="50" t="s">
        <v>12</v>
      </c>
    </row>
    <row r="4" spans="1:15" s="46" customFormat="1" ht="15">
      <c r="B4" s="71" t="s">
        <v>9</v>
      </c>
      <c r="C4" s="72">
        <f>COUNTIF(K9:K1048576,B4)</f>
        <v>0</v>
      </c>
      <c r="D4" s="72"/>
      <c r="E4" s="45"/>
      <c r="F4" s="73" t="s">
        <v>10</v>
      </c>
      <c r="G4" s="74"/>
      <c r="H4" s="45"/>
      <c r="I4" s="121"/>
      <c r="J4" s="45"/>
      <c r="M4" s="56" t="s">
        <v>332</v>
      </c>
      <c r="N4" s="57">
        <v>0.5</v>
      </c>
    </row>
    <row r="5" spans="1:15" s="46" customFormat="1" ht="15">
      <c r="B5" s="71" t="s">
        <v>16</v>
      </c>
      <c r="C5" s="72">
        <f>COUNTIF(K9:K1048576,B5)</f>
        <v>0</v>
      </c>
      <c r="D5" s="72"/>
      <c r="E5" s="45"/>
      <c r="F5" s="73" t="s">
        <v>17</v>
      </c>
      <c r="G5" s="74"/>
      <c r="H5" s="45"/>
      <c r="I5" s="122"/>
      <c r="J5" s="45"/>
      <c r="M5" s="56" t="s">
        <v>18</v>
      </c>
      <c r="N5" s="57">
        <v>1</v>
      </c>
    </row>
    <row r="6" spans="1:15" s="46" customFormat="1" ht="15">
      <c r="B6" s="71" t="s">
        <v>22</v>
      </c>
      <c r="C6" s="72">
        <f>COUNTIF(K9:K1048576,B6)</f>
        <v>25</v>
      </c>
      <c r="D6" s="72"/>
      <c r="E6" s="45"/>
      <c r="F6" s="73"/>
      <c r="G6" s="75"/>
      <c r="H6" s="45"/>
      <c r="I6" s="122"/>
      <c r="J6" s="45"/>
      <c r="M6" s="56" t="s">
        <v>333</v>
      </c>
      <c r="N6" s="57">
        <v>0.5</v>
      </c>
    </row>
    <row r="7" spans="1:15" s="46" customFormat="1" ht="1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M7" s="56" t="s">
        <v>28</v>
      </c>
      <c r="N7" s="57">
        <v>1</v>
      </c>
    </row>
    <row r="8" spans="1:15" ht="25.5">
      <c r="A8" s="47" t="s">
        <v>272</v>
      </c>
      <c r="B8" s="47" t="s">
        <v>35</v>
      </c>
      <c r="C8" s="47" t="s">
        <v>36</v>
      </c>
      <c r="D8" s="47" t="s">
        <v>37</v>
      </c>
      <c r="E8" s="47" t="s">
        <v>38</v>
      </c>
      <c r="F8" s="47" t="s">
        <v>40</v>
      </c>
      <c r="G8" s="59" t="s">
        <v>41</v>
      </c>
      <c r="H8" s="48" t="s">
        <v>10</v>
      </c>
      <c r="I8" s="48" t="s">
        <v>17</v>
      </c>
      <c r="J8" s="48" t="s">
        <v>7</v>
      </c>
      <c r="K8" s="48" t="s">
        <v>42</v>
      </c>
    </row>
    <row r="9" spans="1:15">
      <c r="B9" s="58" t="s">
        <v>84</v>
      </c>
      <c r="C9" s="79" t="s">
        <v>392</v>
      </c>
      <c r="D9" s="51" t="s">
        <v>46</v>
      </c>
      <c r="E9" s="51" t="s">
        <v>411</v>
      </c>
      <c r="F9" s="51" t="s">
        <v>18</v>
      </c>
      <c r="G9" s="52">
        <v>1</v>
      </c>
      <c r="H9" s="53" t="e">
        <f>#REF!</f>
        <v>#REF!</v>
      </c>
      <c r="I9" s="53" t="e">
        <f t="shared" ref="I9:I33" si="0">WORKDAY(H9,J9)</f>
        <v>#REF!</v>
      </c>
      <c r="J9" s="54">
        <f t="shared" ref="J9:J33" si="1">G9/$N$5</f>
        <v>1</v>
      </c>
      <c r="K9" s="102" t="s">
        <v>22</v>
      </c>
    </row>
    <row r="10" spans="1:15">
      <c r="B10" s="58" t="s">
        <v>84</v>
      </c>
      <c r="C10" s="79" t="s">
        <v>412</v>
      </c>
      <c r="D10" s="51" t="s">
        <v>46</v>
      </c>
      <c r="E10" s="51" t="s">
        <v>413</v>
      </c>
      <c r="F10" s="51" t="s">
        <v>18</v>
      </c>
      <c r="G10" s="52">
        <v>2</v>
      </c>
      <c r="H10" s="53" t="e">
        <f t="shared" ref="H10:H18" si="2">I9</f>
        <v>#REF!</v>
      </c>
      <c r="I10" s="53" t="e">
        <f t="shared" si="0"/>
        <v>#REF!</v>
      </c>
      <c r="J10" s="54">
        <f t="shared" si="1"/>
        <v>2</v>
      </c>
      <c r="K10" s="102" t="s">
        <v>22</v>
      </c>
    </row>
    <row r="11" spans="1:15">
      <c r="B11" s="58" t="s">
        <v>84</v>
      </c>
      <c r="C11" s="79" t="s">
        <v>412</v>
      </c>
      <c r="D11" s="51" t="s">
        <v>50</v>
      </c>
      <c r="E11" s="51" t="s">
        <v>414</v>
      </c>
      <c r="F11" s="51" t="s">
        <v>18</v>
      </c>
      <c r="G11" s="52">
        <v>1.5</v>
      </c>
      <c r="H11" s="53" t="e">
        <f t="shared" si="2"/>
        <v>#REF!</v>
      </c>
      <c r="I11" s="53" t="e">
        <f t="shared" si="0"/>
        <v>#REF!</v>
      </c>
      <c r="J11" s="54">
        <f t="shared" si="1"/>
        <v>1.5</v>
      </c>
      <c r="K11" s="102" t="s">
        <v>22</v>
      </c>
    </row>
    <row r="12" spans="1:15">
      <c r="B12" s="58" t="s">
        <v>84</v>
      </c>
      <c r="C12" s="79" t="s">
        <v>412</v>
      </c>
      <c r="D12" s="51" t="s">
        <v>50</v>
      </c>
      <c r="E12" s="51" t="s">
        <v>415</v>
      </c>
      <c r="F12" s="51" t="s">
        <v>18</v>
      </c>
      <c r="G12" s="52">
        <v>1.5</v>
      </c>
      <c r="H12" s="53" t="e">
        <f t="shared" si="2"/>
        <v>#REF!</v>
      </c>
      <c r="I12" s="53" t="e">
        <f t="shared" si="0"/>
        <v>#REF!</v>
      </c>
      <c r="J12" s="54">
        <f t="shared" si="1"/>
        <v>1.5</v>
      </c>
      <c r="K12" s="102" t="s">
        <v>22</v>
      </c>
    </row>
    <row r="13" spans="1:15">
      <c r="B13" s="58" t="s">
        <v>84</v>
      </c>
      <c r="C13" s="79" t="s">
        <v>412</v>
      </c>
      <c r="D13" s="51" t="s">
        <v>278</v>
      </c>
      <c r="E13" s="51" t="s">
        <v>416</v>
      </c>
      <c r="F13" s="51" t="s">
        <v>18</v>
      </c>
      <c r="G13" s="52">
        <v>1</v>
      </c>
      <c r="H13" s="53" t="e">
        <f t="shared" si="2"/>
        <v>#REF!</v>
      </c>
      <c r="I13" s="53" t="e">
        <f t="shared" si="0"/>
        <v>#REF!</v>
      </c>
      <c r="J13" s="54">
        <f t="shared" si="1"/>
        <v>1</v>
      </c>
      <c r="K13" s="102" t="s">
        <v>22</v>
      </c>
    </row>
    <row r="14" spans="1:15">
      <c r="B14" s="58" t="s">
        <v>84</v>
      </c>
      <c r="C14" s="79" t="s">
        <v>393</v>
      </c>
      <c r="D14" s="51" t="s">
        <v>46</v>
      </c>
      <c r="E14" s="51" t="s">
        <v>417</v>
      </c>
      <c r="F14" s="51" t="s">
        <v>18</v>
      </c>
      <c r="G14" s="52">
        <v>1.5</v>
      </c>
      <c r="H14" s="53" t="e">
        <f t="shared" si="2"/>
        <v>#REF!</v>
      </c>
      <c r="I14" s="53" t="e">
        <f t="shared" si="0"/>
        <v>#REF!</v>
      </c>
      <c r="J14" s="54">
        <f t="shared" si="1"/>
        <v>1.5</v>
      </c>
      <c r="K14" s="102" t="s">
        <v>22</v>
      </c>
    </row>
    <row r="15" spans="1:15">
      <c r="B15" s="58" t="s">
        <v>84</v>
      </c>
      <c r="C15" s="79" t="s">
        <v>418</v>
      </c>
      <c r="D15" s="51" t="s">
        <v>46</v>
      </c>
      <c r="E15" s="51" t="s">
        <v>419</v>
      </c>
      <c r="F15" s="51" t="s">
        <v>18</v>
      </c>
      <c r="G15" s="52">
        <v>1.5</v>
      </c>
      <c r="H15" s="53" t="e">
        <f t="shared" si="2"/>
        <v>#REF!</v>
      </c>
      <c r="I15" s="53" t="e">
        <f t="shared" si="0"/>
        <v>#REF!</v>
      </c>
      <c r="J15" s="54">
        <f t="shared" si="1"/>
        <v>1.5</v>
      </c>
      <c r="K15" s="102" t="s">
        <v>22</v>
      </c>
    </row>
    <row r="16" spans="1:15">
      <c r="B16" s="58" t="s">
        <v>84</v>
      </c>
      <c r="C16" s="79" t="s">
        <v>418</v>
      </c>
      <c r="D16" s="51" t="s">
        <v>50</v>
      </c>
      <c r="E16" s="51" t="s">
        <v>420</v>
      </c>
      <c r="F16" s="51" t="s">
        <v>18</v>
      </c>
      <c r="G16" s="52">
        <v>2</v>
      </c>
      <c r="H16" s="53" t="e">
        <f t="shared" si="2"/>
        <v>#REF!</v>
      </c>
      <c r="I16" s="53" t="e">
        <f t="shared" si="0"/>
        <v>#REF!</v>
      </c>
      <c r="J16" s="54">
        <f t="shared" si="1"/>
        <v>2</v>
      </c>
      <c r="K16" s="102" t="s">
        <v>22</v>
      </c>
    </row>
    <row r="17" spans="1:11">
      <c r="B17" s="58" t="s">
        <v>84</v>
      </c>
      <c r="C17" s="79" t="s">
        <v>418</v>
      </c>
      <c r="D17" s="51" t="s">
        <v>50</v>
      </c>
      <c r="E17" s="51" t="s">
        <v>421</v>
      </c>
      <c r="F17" s="51" t="s">
        <v>18</v>
      </c>
      <c r="G17" s="52">
        <v>2</v>
      </c>
      <c r="H17" s="53" t="e">
        <f t="shared" si="2"/>
        <v>#REF!</v>
      </c>
      <c r="I17" s="53" t="e">
        <f t="shared" si="0"/>
        <v>#REF!</v>
      </c>
      <c r="J17" s="54">
        <f t="shared" si="1"/>
        <v>2</v>
      </c>
      <c r="K17" s="102" t="s">
        <v>22</v>
      </c>
    </row>
    <row r="18" spans="1:11">
      <c r="B18" s="58" t="s">
        <v>84</v>
      </c>
      <c r="C18" s="79" t="s">
        <v>418</v>
      </c>
      <c r="D18" s="51" t="s">
        <v>278</v>
      </c>
      <c r="E18" s="51" t="s">
        <v>422</v>
      </c>
      <c r="F18" s="51" t="s">
        <v>18</v>
      </c>
      <c r="G18" s="52">
        <v>1</v>
      </c>
      <c r="H18" s="53" t="e">
        <f t="shared" si="2"/>
        <v>#REF!</v>
      </c>
      <c r="I18" s="53" t="e">
        <f t="shared" si="0"/>
        <v>#REF!</v>
      </c>
      <c r="J18" s="54">
        <f t="shared" si="1"/>
        <v>1</v>
      </c>
      <c r="K18" s="102" t="s">
        <v>22</v>
      </c>
    </row>
    <row r="19" spans="1:11">
      <c r="A19" s="51"/>
      <c r="B19" s="58" t="s">
        <v>84</v>
      </c>
      <c r="C19" s="79" t="s">
        <v>386</v>
      </c>
      <c r="D19" s="51" t="s">
        <v>46</v>
      </c>
      <c r="E19" s="51" t="s">
        <v>423</v>
      </c>
      <c r="F19" s="51" t="s">
        <v>18</v>
      </c>
      <c r="G19" s="52">
        <v>1</v>
      </c>
      <c r="H19" s="53" t="e">
        <f>#REF!</f>
        <v>#REF!</v>
      </c>
      <c r="I19" s="53" t="e">
        <f t="shared" si="0"/>
        <v>#REF!</v>
      </c>
      <c r="J19" s="54">
        <f t="shared" si="1"/>
        <v>1</v>
      </c>
      <c r="K19" s="102" t="s">
        <v>22</v>
      </c>
    </row>
    <row r="20" spans="1:11">
      <c r="A20" s="51"/>
      <c r="B20" s="58" t="s">
        <v>84</v>
      </c>
      <c r="C20" s="79" t="s">
        <v>424</v>
      </c>
      <c r="D20" s="51" t="s">
        <v>46</v>
      </c>
      <c r="E20" s="51" t="s">
        <v>425</v>
      </c>
      <c r="F20" s="51" t="s">
        <v>18</v>
      </c>
      <c r="G20" s="52">
        <v>1</v>
      </c>
      <c r="H20" s="53" t="e">
        <f>I19</f>
        <v>#REF!</v>
      </c>
      <c r="I20" s="53" t="e">
        <f t="shared" si="0"/>
        <v>#REF!</v>
      </c>
      <c r="J20" s="54">
        <f t="shared" si="1"/>
        <v>1</v>
      </c>
      <c r="K20" s="102" t="s">
        <v>22</v>
      </c>
    </row>
    <row r="21" spans="1:11">
      <c r="A21" s="51"/>
      <c r="B21" s="58" t="s">
        <v>84</v>
      </c>
      <c r="C21" s="79" t="s">
        <v>424</v>
      </c>
      <c r="D21" s="51" t="s">
        <v>50</v>
      </c>
      <c r="E21" s="51" t="s">
        <v>426</v>
      </c>
      <c r="F21" s="51" t="s">
        <v>18</v>
      </c>
      <c r="G21" s="52">
        <v>1</v>
      </c>
      <c r="H21" s="53" t="e">
        <f>I20</f>
        <v>#REF!</v>
      </c>
      <c r="I21" s="53" t="e">
        <f t="shared" si="0"/>
        <v>#REF!</v>
      </c>
      <c r="J21" s="54">
        <f t="shared" si="1"/>
        <v>1</v>
      </c>
      <c r="K21" s="102" t="s">
        <v>22</v>
      </c>
    </row>
    <row r="22" spans="1:11">
      <c r="A22" s="51"/>
      <c r="B22" s="58" t="s">
        <v>84</v>
      </c>
      <c r="C22" s="79" t="s">
        <v>424</v>
      </c>
      <c r="D22" s="51" t="s">
        <v>50</v>
      </c>
      <c r="E22" s="51" t="s">
        <v>427</v>
      </c>
      <c r="F22" s="51" t="s">
        <v>18</v>
      </c>
      <c r="G22" s="52">
        <v>2</v>
      </c>
      <c r="H22" s="53" t="e">
        <f>I21</f>
        <v>#REF!</v>
      </c>
      <c r="I22" s="53" t="e">
        <f t="shared" si="0"/>
        <v>#REF!</v>
      </c>
      <c r="J22" s="54">
        <f t="shared" si="1"/>
        <v>2</v>
      </c>
      <c r="K22" s="102" t="s">
        <v>22</v>
      </c>
    </row>
    <row r="23" spans="1:11">
      <c r="A23" s="51"/>
      <c r="B23" s="58" t="s">
        <v>84</v>
      </c>
      <c r="C23" s="79" t="s">
        <v>424</v>
      </c>
      <c r="D23" s="51" t="s">
        <v>278</v>
      </c>
      <c r="E23" s="51" t="s">
        <v>428</v>
      </c>
      <c r="F23" s="51" t="s">
        <v>18</v>
      </c>
      <c r="G23" s="52">
        <v>1</v>
      </c>
      <c r="H23" s="53" t="e">
        <f>I22</f>
        <v>#REF!</v>
      </c>
      <c r="I23" s="53" t="e">
        <f t="shared" si="0"/>
        <v>#REF!</v>
      </c>
      <c r="J23" s="54">
        <f t="shared" si="1"/>
        <v>1</v>
      </c>
      <c r="K23" s="102" t="s">
        <v>22</v>
      </c>
    </row>
    <row r="24" spans="1:11">
      <c r="A24" s="51"/>
      <c r="B24" s="58" t="s">
        <v>84</v>
      </c>
      <c r="C24" s="80" t="s">
        <v>389</v>
      </c>
      <c r="D24" s="51" t="s">
        <v>46</v>
      </c>
      <c r="E24" s="51" t="s">
        <v>429</v>
      </c>
      <c r="F24" s="51" t="s">
        <v>18</v>
      </c>
      <c r="G24" s="52">
        <v>1.5</v>
      </c>
      <c r="H24" s="53" t="e">
        <f>#REF!</f>
        <v>#REF!</v>
      </c>
      <c r="I24" s="53" t="e">
        <f t="shared" si="0"/>
        <v>#REF!</v>
      </c>
      <c r="J24" s="54">
        <f t="shared" si="1"/>
        <v>1.5</v>
      </c>
      <c r="K24" s="102" t="s">
        <v>22</v>
      </c>
    </row>
    <row r="25" spans="1:11">
      <c r="B25" s="58" t="s">
        <v>84</v>
      </c>
      <c r="C25" s="80" t="s">
        <v>430</v>
      </c>
      <c r="D25" s="51" t="s">
        <v>46</v>
      </c>
      <c r="E25" s="51" t="s">
        <v>431</v>
      </c>
      <c r="F25" s="51" t="s">
        <v>18</v>
      </c>
      <c r="G25" s="52">
        <v>1.5</v>
      </c>
      <c r="H25" s="53" t="e">
        <f t="shared" ref="H25:H33" si="3">I24</f>
        <v>#REF!</v>
      </c>
      <c r="I25" s="53" t="e">
        <f t="shared" si="0"/>
        <v>#REF!</v>
      </c>
      <c r="J25" s="54">
        <f t="shared" si="1"/>
        <v>1.5</v>
      </c>
      <c r="K25" s="102" t="s">
        <v>22</v>
      </c>
    </row>
    <row r="26" spans="1:11">
      <c r="B26" s="58" t="s">
        <v>84</v>
      </c>
      <c r="C26" s="80" t="s">
        <v>430</v>
      </c>
      <c r="D26" s="51" t="s">
        <v>50</v>
      </c>
      <c r="E26" s="51" t="s">
        <v>432</v>
      </c>
      <c r="F26" s="51" t="s">
        <v>18</v>
      </c>
      <c r="G26" s="52">
        <v>1.5</v>
      </c>
      <c r="H26" s="53" t="e">
        <f t="shared" si="3"/>
        <v>#REF!</v>
      </c>
      <c r="I26" s="53" t="e">
        <f t="shared" si="0"/>
        <v>#REF!</v>
      </c>
      <c r="J26" s="54">
        <f t="shared" si="1"/>
        <v>1.5</v>
      </c>
      <c r="K26" s="102" t="s">
        <v>22</v>
      </c>
    </row>
    <row r="27" spans="1:11">
      <c r="B27" s="58" t="s">
        <v>84</v>
      </c>
      <c r="C27" s="80" t="s">
        <v>430</v>
      </c>
      <c r="D27" s="51" t="s">
        <v>50</v>
      </c>
      <c r="E27" s="51" t="s">
        <v>433</v>
      </c>
      <c r="F27" s="51" t="s">
        <v>18</v>
      </c>
      <c r="G27" s="52">
        <v>2.5</v>
      </c>
      <c r="H27" s="53" t="e">
        <f t="shared" si="3"/>
        <v>#REF!</v>
      </c>
      <c r="I27" s="53" t="e">
        <f t="shared" si="0"/>
        <v>#REF!</v>
      </c>
      <c r="J27" s="54">
        <f t="shared" si="1"/>
        <v>2.5</v>
      </c>
      <c r="K27" s="102" t="s">
        <v>22</v>
      </c>
    </row>
    <row r="28" spans="1:11">
      <c r="B28" s="58" t="s">
        <v>84</v>
      </c>
      <c r="C28" s="80" t="s">
        <v>430</v>
      </c>
      <c r="D28" s="51" t="s">
        <v>278</v>
      </c>
      <c r="E28" s="51" t="s">
        <v>434</v>
      </c>
      <c r="F28" s="51" t="s">
        <v>18</v>
      </c>
      <c r="G28" s="52">
        <v>1</v>
      </c>
      <c r="H28" s="53" t="e">
        <f t="shared" si="3"/>
        <v>#REF!</v>
      </c>
      <c r="I28" s="53" t="e">
        <f t="shared" si="0"/>
        <v>#REF!</v>
      </c>
      <c r="J28" s="54">
        <f t="shared" si="1"/>
        <v>1</v>
      </c>
      <c r="K28" s="102" t="s">
        <v>22</v>
      </c>
    </row>
    <row r="29" spans="1:11">
      <c r="B29" s="58" t="s">
        <v>84</v>
      </c>
      <c r="C29" s="79" t="s">
        <v>390</v>
      </c>
      <c r="D29" s="51" t="s">
        <v>46</v>
      </c>
      <c r="E29" s="51" t="s">
        <v>213</v>
      </c>
      <c r="F29" s="51" t="s">
        <v>18</v>
      </c>
      <c r="G29" s="52">
        <v>1</v>
      </c>
      <c r="H29" s="53" t="e">
        <f t="shared" si="3"/>
        <v>#REF!</v>
      </c>
      <c r="I29" s="53" t="e">
        <f t="shared" si="0"/>
        <v>#REF!</v>
      </c>
      <c r="J29" s="54">
        <f t="shared" si="1"/>
        <v>1</v>
      </c>
      <c r="K29" s="102" t="s">
        <v>22</v>
      </c>
    </row>
    <row r="30" spans="1:11">
      <c r="B30" s="58" t="s">
        <v>84</v>
      </c>
      <c r="C30" s="79" t="s">
        <v>435</v>
      </c>
      <c r="D30" s="51" t="s">
        <v>46</v>
      </c>
      <c r="E30" s="51" t="s">
        <v>214</v>
      </c>
      <c r="F30" s="51" t="s">
        <v>18</v>
      </c>
      <c r="G30" s="52">
        <v>1</v>
      </c>
      <c r="H30" s="53" t="e">
        <f t="shared" si="3"/>
        <v>#REF!</v>
      </c>
      <c r="I30" s="53" t="e">
        <f t="shared" si="0"/>
        <v>#REF!</v>
      </c>
      <c r="J30" s="54">
        <f t="shared" si="1"/>
        <v>1</v>
      </c>
      <c r="K30" s="102" t="s">
        <v>22</v>
      </c>
    </row>
    <row r="31" spans="1:11">
      <c r="B31" s="58" t="s">
        <v>84</v>
      </c>
      <c r="C31" s="79" t="s">
        <v>435</v>
      </c>
      <c r="D31" s="51" t="s">
        <v>50</v>
      </c>
      <c r="E31" s="51" t="s">
        <v>216</v>
      </c>
      <c r="F31" s="51" t="s">
        <v>18</v>
      </c>
      <c r="G31" s="52">
        <v>1</v>
      </c>
      <c r="H31" s="53" t="e">
        <f t="shared" si="3"/>
        <v>#REF!</v>
      </c>
      <c r="I31" s="53" t="e">
        <f t="shared" si="0"/>
        <v>#REF!</v>
      </c>
      <c r="J31" s="54">
        <f t="shared" si="1"/>
        <v>1</v>
      </c>
      <c r="K31" s="102" t="s">
        <v>22</v>
      </c>
    </row>
    <row r="32" spans="1:11">
      <c r="B32" s="58" t="s">
        <v>84</v>
      </c>
      <c r="C32" s="79" t="s">
        <v>435</v>
      </c>
      <c r="D32" s="51" t="s">
        <v>50</v>
      </c>
      <c r="E32" s="51" t="s">
        <v>217</v>
      </c>
      <c r="F32" s="51" t="s">
        <v>18</v>
      </c>
      <c r="G32" s="52">
        <v>3</v>
      </c>
      <c r="H32" s="53" t="e">
        <f t="shared" si="3"/>
        <v>#REF!</v>
      </c>
      <c r="I32" s="53" t="e">
        <f t="shared" si="0"/>
        <v>#REF!</v>
      </c>
      <c r="J32" s="54">
        <f t="shared" si="1"/>
        <v>3</v>
      </c>
      <c r="K32" s="102" t="s">
        <v>22</v>
      </c>
    </row>
    <row r="33" spans="2:11">
      <c r="B33" s="58" t="s">
        <v>84</v>
      </c>
      <c r="C33" s="79" t="s">
        <v>435</v>
      </c>
      <c r="D33" s="51" t="s">
        <v>278</v>
      </c>
      <c r="E33" s="51" t="s">
        <v>218</v>
      </c>
      <c r="F33" s="51" t="s">
        <v>18</v>
      </c>
      <c r="G33" s="52">
        <v>1</v>
      </c>
      <c r="H33" s="53" t="e">
        <f t="shared" si="3"/>
        <v>#REF!</v>
      </c>
      <c r="I33" s="53" t="e">
        <f t="shared" si="0"/>
        <v>#REF!</v>
      </c>
      <c r="J33" s="54">
        <f t="shared" si="1"/>
        <v>1</v>
      </c>
      <c r="K33" s="102" t="s">
        <v>22</v>
      </c>
    </row>
  </sheetData>
  <mergeCells count="3">
    <mergeCell ref="C1:K1"/>
    <mergeCell ref="I3:I4"/>
    <mergeCell ref="I5:I6"/>
  </mergeCells>
  <phoneticPr fontId="1" type="noConversion"/>
  <conditionalFormatting sqref="B9:B33 F9:F33 H9:H33 D11:D13 D16:D18 D21:D23 D26:D28 D31:D33">
    <cfRule type="expression" dxfId="0" priority="46">
      <formula>IF(AND($B9&lt;&gt;OFFSET($B9,-1,0),$B9&lt;&gt;""),TRUE,FALSE)</formula>
    </cfRule>
  </conditionalFormatting>
  <dataValidations count="1">
    <dataValidation type="list" allowBlank="1" showInputMessage="1" showErrorMessage="1" sqref="K9:K18 K19:K23 K24:K33" xr:uid="{F4F0B41E-175B-4ED2-BFF4-459650996710}">
      <formula1>"Not Started,In progress,Completed"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63ebca-499d-46d0-9f1b-229b5c1b891e" xsi:nil="true"/>
    <lcf76f155ced4ddcb4097134ff3c332f xmlns="0f8295f7-a163-4c8a-8837-812a4c2d054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8E2DFC90E5634419BB86FC335CDDFBA" ma:contentTypeVersion="12" ma:contentTypeDescription="建立新的文件。" ma:contentTypeScope="" ma:versionID="b036fbc206108fefe343c9df5fc6f1fe">
  <xsd:schema xmlns:xsd="http://www.w3.org/2001/XMLSchema" xmlns:xs="http://www.w3.org/2001/XMLSchema" xmlns:p="http://schemas.microsoft.com/office/2006/metadata/properties" xmlns:ns2="0f8295f7-a163-4c8a-8837-812a4c2d054a" xmlns:ns3="0d63ebca-499d-46d0-9f1b-229b5c1b891e" targetNamespace="http://schemas.microsoft.com/office/2006/metadata/properties" ma:root="true" ma:fieldsID="b0167ef595ef0ecb5744fff60f6c39a6" ns2:_="" ns3:_="">
    <xsd:import namespace="0f8295f7-a163-4c8a-8837-812a4c2d054a"/>
    <xsd:import namespace="0d63ebca-499d-46d0-9f1b-229b5c1b8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295f7-a163-4c8a-8837-812a4c2d0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4e1f35fb-051d-46a5-87ee-9d5bddbc57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3ebca-499d-46d0-9f1b-229b5c1b891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99d57ac-dd80-442e-910c-39f4e14618fe}" ma:internalName="TaxCatchAll" ma:showField="CatchAllData" ma:web="0d63ebca-499d-46d0-9f1b-229b5c1b8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3BDA02-9B24-4F0D-BB6D-4E253C40C28D}"/>
</file>

<file path=customXml/itemProps2.xml><?xml version="1.0" encoding="utf-8"?>
<ds:datastoreItem xmlns:ds="http://schemas.openxmlformats.org/officeDocument/2006/customXml" ds:itemID="{B7D7A689-E52D-427D-B28B-237D43333B84}"/>
</file>

<file path=customXml/itemProps3.xml><?xml version="1.0" encoding="utf-8"?>
<ds:datastoreItem xmlns:ds="http://schemas.openxmlformats.org/officeDocument/2006/customXml" ds:itemID="{44383EA1-832C-4CC4-9A78-BA33895433BE}"/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Hu （胡真豪）</dc:creator>
  <cp:keywords/>
  <dc:description/>
  <cp:lastModifiedBy/>
  <cp:revision/>
  <dcterms:created xsi:type="dcterms:W3CDTF">2025-11-06T07:45:16Z</dcterms:created>
  <dcterms:modified xsi:type="dcterms:W3CDTF">2025-12-15T08:08:13Z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0x01010018E2DFC90E5634419BB86FC335CDDFBA</vt:lpwstr>
  </property>
  <property fmtid="{D5CDD505-2E9C-101B-9397-08002B2CF9AE}" pid="3" name="MediaServiceImageTags">
    <vt:lpwstr/>
  </property>
</Properties>
</file>